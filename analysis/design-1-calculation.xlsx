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4CEB20C9-B5FD-4F2A-B64B-C27687AE3E8A}" xr6:coauthVersionLast="47" xr6:coauthVersionMax="47" xr10:uidLastSave="{00000000-0000-0000-0000-000000000000}"/>
  <bookViews>
    <workbookView xWindow="0" yWindow="0" windowWidth="16384" windowHeight="8192" tabRatio="500" firstSheet="1" activeTab="12" xr2:uid="{00000000-000D-0000-FFFF-FFFF00000000}"/>
  </bookViews>
  <sheets>
    <sheet name="COVER" sheetId="13" r:id="rId1"/>
    <sheet name="ACT 3" sheetId="1" r:id="rId2"/>
    <sheet name="ACT 4" sheetId="2" r:id="rId3"/>
    <sheet name="ACT 5" sheetId="3" r:id="rId4"/>
    <sheet name="ACT 6" sheetId="4" r:id="rId5"/>
    <sheet name="ACT 7" sheetId="5" r:id="rId6"/>
    <sheet name="ACT 8" sheetId="6" r:id="rId7"/>
    <sheet name="ACT 9" sheetId="7" r:id="rId8"/>
    <sheet name="ACT 10" sheetId="8" r:id="rId9"/>
    <sheet name="ACT 11" sheetId="9" r:id="rId10"/>
    <sheet name="ACT 12" sheetId="10" r:id="rId11"/>
    <sheet name="ACT 13" sheetId="11" r:id="rId12"/>
    <sheet name="ACT 14" sheetId="12" r:id="rId13"/>
  </sheets>
  <externalReferences>
    <externalReference r:id="rId14"/>
    <externalReference r:id="rId15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3" l="1"/>
  <c r="Z16" i="7"/>
  <c r="G6" i="12"/>
  <c r="AF45" i="11"/>
  <c r="AF46" i="11" s="1"/>
  <c r="AF47" i="11" s="1"/>
  <c r="AF48" i="11" s="1"/>
  <c r="AF49" i="11" s="1"/>
  <c r="AF50" i="11" s="1"/>
  <c r="AF51" i="11" s="1"/>
  <c r="AF52" i="11" s="1"/>
  <c r="AF53" i="11" s="1"/>
  <c r="AF54" i="11" s="1"/>
  <c r="AF55" i="11" s="1"/>
  <c r="AF56" i="11" s="1"/>
  <c r="AF57" i="11" s="1"/>
  <c r="AF58" i="11" s="1"/>
  <c r="AF59" i="11" s="1"/>
  <c r="AF60" i="11" s="1"/>
  <c r="AF61" i="11" s="1"/>
  <c r="AF62" i="11" s="1"/>
  <c r="AF63" i="11" s="1"/>
  <c r="AE45" i="11"/>
  <c r="AE46" i="11" s="1"/>
  <c r="AE47" i="11" s="1"/>
  <c r="AE48" i="11" s="1"/>
  <c r="AE49" i="11" s="1"/>
  <c r="AE50" i="11" s="1"/>
  <c r="AE51" i="11" s="1"/>
  <c r="AE52" i="11" s="1"/>
  <c r="AE53" i="11" s="1"/>
  <c r="AE54" i="11" s="1"/>
  <c r="AE55" i="11" s="1"/>
  <c r="AE56" i="11" s="1"/>
  <c r="AE57" i="11" s="1"/>
  <c r="AE58" i="11" s="1"/>
  <c r="AE59" i="11" s="1"/>
  <c r="AE60" i="11" s="1"/>
  <c r="AE61" i="11" s="1"/>
  <c r="AE62" i="11" s="1"/>
  <c r="AE63" i="11" s="1"/>
  <c r="AD14" i="11"/>
  <c r="AD13" i="11"/>
  <c r="AD16" i="11" s="1"/>
  <c r="AJ15" i="11"/>
  <c r="AI15" i="11"/>
  <c r="AJ14" i="11"/>
  <c r="AI14" i="11"/>
  <c r="V14" i="11"/>
  <c r="N14" i="11"/>
  <c r="E14" i="11"/>
  <c r="C14" i="11"/>
  <c r="AJ13" i="11"/>
  <c r="AI13" i="11"/>
  <c r="V13" i="11"/>
  <c r="N13" i="11"/>
  <c r="E13" i="11"/>
  <c r="C13" i="11"/>
  <c r="AJ12" i="11"/>
  <c r="AI12" i="11"/>
  <c r="V12" i="11"/>
  <c r="N12" i="11"/>
  <c r="E12" i="11"/>
  <c r="C12" i="11"/>
  <c r="AJ11" i="11"/>
  <c r="AI11" i="11"/>
  <c r="V11" i="11"/>
  <c r="N11" i="11"/>
  <c r="E11" i="11"/>
  <c r="C11" i="11"/>
  <c r="AJ10" i="11"/>
  <c r="AI10" i="11"/>
  <c r="V10" i="11"/>
  <c r="N10" i="11"/>
  <c r="E10" i="11"/>
  <c r="C10" i="11"/>
  <c r="AJ9" i="11"/>
  <c r="AI9" i="11"/>
  <c r="V9" i="11"/>
  <c r="N9" i="11"/>
  <c r="E9" i="11"/>
  <c r="C9" i="11"/>
  <c r="AJ8" i="11"/>
  <c r="AI8" i="11"/>
  <c r="V8" i="11"/>
  <c r="N8" i="11"/>
  <c r="E8" i="11"/>
  <c r="C8" i="11"/>
  <c r="AJ7" i="11"/>
  <c r="AI7" i="11"/>
  <c r="V7" i="11"/>
  <c r="N7" i="11"/>
  <c r="E7" i="11"/>
  <c r="C7" i="11"/>
  <c r="AJ6" i="11"/>
  <c r="AI6" i="11"/>
  <c r="AD6" i="11"/>
  <c r="AE6" i="11" s="1"/>
  <c r="V6" i="11"/>
  <c r="N6" i="11"/>
  <c r="E6" i="11"/>
  <c r="C6" i="11"/>
  <c r="AJ5" i="11"/>
  <c r="AI5" i="11"/>
  <c r="V5" i="11"/>
  <c r="N5" i="11"/>
  <c r="E5" i="11"/>
  <c r="C5" i="11"/>
  <c r="AJ4" i="11"/>
  <c r="AI4" i="11"/>
  <c r="V4" i="11"/>
  <c r="N4" i="11"/>
  <c r="E4" i="11"/>
  <c r="C4" i="11"/>
  <c r="AJ3" i="11"/>
  <c r="AI3" i="11"/>
  <c r="N18" i="10"/>
  <c r="L17" i="10"/>
  <c r="N16" i="10"/>
  <c r="N15" i="10"/>
  <c r="N14" i="10"/>
  <c r="N13" i="10"/>
  <c r="N12" i="10"/>
  <c r="N11" i="10"/>
  <c r="N10" i="10"/>
  <c r="N9" i="10"/>
  <c r="AD86" i="9"/>
  <c r="AD85" i="9"/>
  <c r="AD84" i="9"/>
  <c r="AD83" i="9"/>
  <c r="AD82" i="9"/>
  <c r="AD81" i="9"/>
  <c r="AD80" i="9"/>
  <c r="AD79" i="9"/>
  <c r="AD78" i="9"/>
  <c r="AD77" i="9"/>
  <c r="AD76" i="9"/>
  <c r="AD75" i="9"/>
  <c r="AD74" i="9"/>
  <c r="AD73" i="9"/>
  <c r="AD72" i="9"/>
  <c r="AD65" i="9"/>
  <c r="AD64" i="9"/>
  <c r="AD63" i="9"/>
  <c r="AD62" i="9"/>
  <c r="AD61" i="9"/>
  <c r="AD60" i="9"/>
  <c r="AD59" i="9"/>
  <c r="AD58" i="9"/>
  <c r="AD57" i="9"/>
  <c r="AD56" i="9"/>
  <c r="AD55" i="9"/>
  <c r="AD54" i="9"/>
  <c r="AD53" i="9"/>
  <c r="AD52" i="9"/>
  <c r="AD51" i="9"/>
  <c r="AD44" i="9"/>
  <c r="AD43" i="9"/>
  <c r="AD42" i="9"/>
  <c r="AD41" i="9"/>
  <c r="AD40" i="9"/>
  <c r="AD39" i="9"/>
  <c r="AD38" i="9"/>
  <c r="AD37" i="9"/>
  <c r="AD36" i="9"/>
  <c r="AD35" i="9"/>
  <c r="AD34" i="9"/>
  <c r="C34" i="9"/>
  <c r="C35" i="9" s="1"/>
  <c r="AD33" i="9"/>
  <c r="AD32" i="9"/>
  <c r="C32" i="9"/>
  <c r="AD31" i="9"/>
  <c r="AD30" i="9"/>
  <c r="C28" i="9"/>
  <c r="C27" i="9"/>
  <c r="C26" i="9"/>
  <c r="Q25" i="9"/>
  <c r="P30" i="9" s="1"/>
  <c r="C25" i="9"/>
  <c r="C24" i="9"/>
  <c r="AD22" i="9"/>
  <c r="U22" i="9"/>
  <c r="Q22" i="9"/>
  <c r="V22" i="9" s="1"/>
  <c r="M40" i="10" s="1"/>
  <c r="P22" i="9"/>
  <c r="AD21" i="9"/>
  <c r="U21" i="9"/>
  <c r="Q21" i="9"/>
  <c r="V21" i="9" s="1"/>
  <c r="M39" i="10" s="1"/>
  <c r="P21" i="9"/>
  <c r="AD20" i="9"/>
  <c r="U20" i="9"/>
  <c r="Q20" i="9"/>
  <c r="V20" i="9" s="1"/>
  <c r="M38" i="10" s="1"/>
  <c r="P20" i="9"/>
  <c r="AD19" i="9"/>
  <c r="U19" i="9"/>
  <c r="Q19" i="9"/>
  <c r="V19" i="9" s="1"/>
  <c r="M37" i="10" s="1"/>
  <c r="P19" i="9"/>
  <c r="AD18" i="9"/>
  <c r="U18" i="9"/>
  <c r="Q18" i="9"/>
  <c r="V18" i="9" s="1"/>
  <c r="M36" i="10" s="1"/>
  <c r="P18" i="9"/>
  <c r="AD17" i="9"/>
  <c r="U17" i="9"/>
  <c r="Q17" i="9"/>
  <c r="V17" i="9" s="1"/>
  <c r="M35" i="10" s="1"/>
  <c r="P17" i="9"/>
  <c r="AD16" i="9"/>
  <c r="U16" i="9"/>
  <c r="Q16" i="9"/>
  <c r="V16" i="9" s="1"/>
  <c r="M34" i="10" s="1"/>
  <c r="P16" i="9"/>
  <c r="AD15" i="9"/>
  <c r="U15" i="9"/>
  <c r="Q15" i="9"/>
  <c r="V15" i="9" s="1"/>
  <c r="M33" i="10" s="1"/>
  <c r="P15" i="9"/>
  <c r="AD14" i="9"/>
  <c r="U14" i="9"/>
  <c r="Q14" i="9"/>
  <c r="V14" i="9" s="1"/>
  <c r="M32" i="10" s="1"/>
  <c r="P14" i="9"/>
  <c r="AD13" i="9"/>
  <c r="U13" i="9"/>
  <c r="Q13" i="9"/>
  <c r="V13" i="9" s="1"/>
  <c r="M31" i="10" s="1"/>
  <c r="P13" i="9"/>
  <c r="AD12" i="9"/>
  <c r="U12" i="9"/>
  <c r="Q12" i="9"/>
  <c r="V12" i="9" s="1"/>
  <c r="M30" i="10" s="1"/>
  <c r="P12" i="9"/>
  <c r="AD11" i="9"/>
  <c r="U11" i="9"/>
  <c r="Q11" i="9"/>
  <c r="V11" i="9" s="1"/>
  <c r="M29" i="10" s="1"/>
  <c r="P11" i="9"/>
  <c r="AD10" i="9"/>
  <c r="U10" i="9"/>
  <c r="Q10" i="9"/>
  <c r="V10" i="9" s="1"/>
  <c r="M28" i="10" s="1"/>
  <c r="P10" i="9"/>
  <c r="AD9" i="9"/>
  <c r="U9" i="9"/>
  <c r="Q9" i="9"/>
  <c r="V9" i="9" s="1"/>
  <c r="M27" i="10" s="1"/>
  <c r="P9" i="9"/>
  <c r="AD8" i="9"/>
  <c r="U8" i="9"/>
  <c r="Q8" i="9"/>
  <c r="V8" i="9" s="1"/>
  <c r="M26" i="10" s="1"/>
  <c r="P8" i="9"/>
  <c r="C27" i="8"/>
  <c r="C26" i="8"/>
  <c r="C25" i="8"/>
  <c r="C24" i="8"/>
  <c r="C23" i="8"/>
  <c r="P32" i="7"/>
  <c r="Z22" i="7"/>
  <c r="S20" i="7"/>
  <c r="C20" i="7" a="1"/>
  <c r="D20" i="7" s="1"/>
  <c r="K19" i="7"/>
  <c r="L19" i="7" s="1"/>
  <c r="C19" i="7" a="1"/>
  <c r="D19" i="7" s="1"/>
  <c r="S18" i="7"/>
  <c r="G18" i="7"/>
  <c r="S16" i="7"/>
  <c r="Z14" i="7"/>
  <c r="S14" i="7"/>
  <c r="Z12" i="7"/>
  <c r="S12" i="7"/>
  <c r="Z10" i="7"/>
  <c r="Z25" i="7" s="1"/>
  <c r="S10" i="7"/>
  <c r="S22" i="7" s="1"/>
  <c r="N11" i="6" a="1"/>
  <c r="O11" i="6" s="1"/>
  <c r="N10" i="6" a="1"/>
  <c r="O10" i="6" s="1"/>
  <c r="N8" i="6" a="1"/>
  <c r="O8" i="6" s="1"/>
  <c r="N7" i="6" a="1"/>
  <c r="O7" i="6" s="1"/>
  <c r="K89" i="5"/>
  <c r="L89" i="5" s="1"/>
  <c r="I89" i="5"/>
  <c r="J89" i="5" s="1"/>
  <c r="K88" i="5"/>
  <c r="L88" i="5" s="1"/>
  <c r="I88" i="5"/>
  <c r="J88" i="5" s="1"/>
  <c r="K87" i="5"/>
  <c r="L87" i="5" s="1"/>
  <c r="I87" i="5"/>
  <c r="J87" i="5" s="1"/>
  <c r="L86" i="5"/>
  <c r="J86" i="5"/>
  <c r="K85" i="5"/>
  <c r="L85" i="5" s="1"/>
  <c r="I85" i="5"/>
  <c r="J85" i="5" s="1"/>
  <c r="L78" i="5"/>
  <c r="J78" i="5"/>
  <c r="L77" i="5"/>
  <c r="J77" i="5"/>
  <c r="L68" i="5"/>
  <c r="J68" i="5"/>
  <c r="K67" i="5"/>
  <c r="L67" i="5" s="1"/>
  <c r="I67" i="5"/>
  <c r="J67" i="5" s="1"/>
  <c r="L66" i="5"/>
  <c r="J66" i="5"/>
  <c r="R51" i="5"/>
  <c r="U50" i="5"/>
  <c r="K48" i="5"/>
  <c r="L38" i="5"/>
  <c r="K38" i="5"/>
  <c r="J37" i="5"/>
  <c r="I37" i="5"/>
  <c r="H37" i="5"/>
  <c r="J36" i="5"/>
  <c r="I36" i="5"/>
  <c r="H36" i="5"/>
  <c r="J35" i="5"/>
  <c r="I35" i="5"/>
  <c r="H35" i="5"/>
  <c r="H38" i="5" s="1"/>
  <c r="O33" i="5"/>
  <c r="O32" i="5"/>
  <c r="L28" i="5"/>
  <c r="K28" i="5"/>
  <c r="J27" i="5"/>
  <c r="I27" i="5"/>
  <c r="H27" i="5"/>
  <c r="J26" i="5"/>
  <c r="I26" i="5"/>
  <c r="H26" i="5"/>
  <c r="H28" i="5" s="1"/>
  <c r="O24" i="5"/>
  <c r="O23" i="5"/>
  <c r="L20" i="5"/>
  <c r="K20" i="5"/>
  <c r="J19" i="5"/>
  <c r="I19" i="5"/>
  <c r="H19" i="5"/>
  <c r="J18" i="5"/>
  <c r="I18" i="5"/>
  <c r="H18" i="5"/>
  <c r="H20" i="5" s="1"/>
  <c r="O16" i="5"/>
  <c r="O15" i="5"/>
  <c r="L12" i="5"/>
  <c r="K12" i="5"/>
  <c r="J11" i="5"/>
  <c r="I11" i="5"/>
  <c r="H11" i="5"/>
  <c r="J10" i="5"/>
  <c r="I10" i="5"/>
  <c r="H10" i="5"/>
  <c r="H12" i="5" s="1"/>
  <c r="O8" i="5"/>
  <c r="O7" i="5"/>
  <c r="E70" i="4"/>
  <c r="I68" i="4"/>
  <c r="H68" i="4"/>
  <c r="I67" i="4"/>
  <c r="I70" i="4" s="1"/>
  <c r="H67" i="4"/>
  <c r="H70" i="4" s="1"/>
  <c r="L66" i="4"/>
  <c r="L65" i="4"/>
  <c r="E61" i="4"/>
  <c r="I60" i="4"/>
  <c r="H60" i="4"/>
  <c r="I59" i="4"/>
  <c r="H59" i="4"/>
  <c r="I58" i="4"/>
  <c r="I61" i="4" s="1"/>
  <c r="H58" i="4"/>
  <c r="H61" i="4" s="1"/>
  <c r="L57" i="4"/>
  <c r="L56" i="4"/>
  <c r="E52" i="4"/>
  <c r="H19" i="7" s="1"/>
  <c r="G19" i="7" s="1"/>
  <c r="I51" i="4"/>
  <c r="H51" i="4"/>
  <c r="I50" i="4"/>
  <c r="H50" i="4"/>
  <c r="I49" i="4"/>
  <c r="I52" i="4" s="1"/>
  <c r="H49" i="4"/>
  <c r="H52" i="4" s="1"/>
  <c r="L48" i="4"/>
  <c r="L47" i="4"/>
  <c r="E42" i="4"/>
  <c r="I41" i="4"/>
  <c r="H41" i="4"/>
  <c r="I40" i="4"/>
  <c r="H40" i="4"/>
  <c r="I39" i="4"/>
  <c r="I42" i="4" s="1"/>
  <c r="L39" i="4" s="1"/>
  <c r="H39" i="4"/>
  <c r="H42" i="4" s="1"/>
  <c r="L38" i="4"/>
  <c r="E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I32" i="4" s="1"/>
  <c r="L25" i="4" s="1"/>
  <c r="H25" i="4"/>
  <c r="H32" i="4" s="1"/>
  <c r="L24" i="4"/>
  <c r="E18" i="4"/>
  <c r="I17" i="4"/>
  <c r="H17" i="4"/>
  <c r="I16" i="4"/>
  <c r="I18" i="4" s="1"/>
  <c r="L16" i="4" s="1"/>
  <c r="H16" i="4"/>
  <c r="H18" i="4" s="1"/>
  <c r="L15" i="4"/>
  <c r="E9" i="4"/>
  <c r="R39" i="4" s="1"/>
  <c r="I8" i="4"/>
  <c r="H8" i="4"/>
  <c r="I7" i="4"/>
  <c r="I9" i="4" s="1"/>
  <c r="L7" i="4" s="1"/>
  <c r="R41" i="4" s="1"/>
  <c r="H7" i="4"/>
  <c r="H9" i="4" s="1"/>
  <c r="L6" i="4"/>
  <c r="R40" i="4" s="1"/>
  <c r="E30" i="3"/>
  <c r="H58" i="5" s="1"/>
  <c r="E29" i="3"/>
  <c r="H57" i="5" s="1"/>
  <c r="D28" i="3"/>
  <c r="E27" i="3"/>
  <c r="H56" i="5" s="1"/>
  <c r="E26" i="3"/>
  <c r="H55" i="5" s="1"/>
  <c r="E25" i="3"/>
  <c r="E24" i="3"/>
  <c r="E23" i="3"/>
  <c r="D22" i="3"/>
  <c r="E22" i="3" s="1"/>
  <c r="H54" i="5" s="1"/>
  <c r="E21" i="3"/>
  <c r="E20" i="3"/>
  <c r="H53" i="5" s="1"/>
  <c r="E19" i="3"/>
  <c r="H52" i="5" s="1"/>
  <c r="D18" i="3"/>
  <c r="E18" i="3" s="1"/>
  <c r="E17" i="3"/>
  <c r="H51" i="5" s="1"/>
  <c r="E16" i="3"/>
  <c r="H50" i="5" s="1"/>
  <c r="E15" i="3"/>
  <c r="H49" i="5" s="1"/>
  <c r="E14" i="3"/>
  <c r="H48" i="5" s="1"/>
  <c r="E13" i="3"/>
  <c r="H47" i="5" s="1"/>
  <c r="E12" i="3"/>
  <c r="H46" i="5" s="1"/>
  <c r="E11" i="3"/>
  <c r="H45" i="5" s="1"/>
  <c r="D10" i="3"/>
  <c r="E10" i="3" s="1"/>
  <c r="E6" i="3"/>
  <c r="E5" i="3"/>
  <c r="E4" i="3"/>
  <c r="N68" i="2"/>
  <c r="V68" i="2" s="1"/>
  <c r="L68" i="2"/>
  <c r="T68" i="2" s="1"/>
  <c r="J68" i="2"/>
  <c r="N67" i="2"/>
  <c r="V67" i="2" s="1"/>
  <c r="L67" i="2"/>
  <c r="T67" i="2" s="1"/>
  <c r="J67" i="2"/>
  <c r="N66" i="2"/>
  <c r="V66" i="2" s="1"/>
  <c r="L66" i="2"/>
  <c r="T66" i="2" s="1"/>
  <c r="J66" i="2"/>
  <c r="N65" i="2"/>
  <c r="V65" i="2" s="1"/>
  <c r="L65" i="2"/>
  <c r="T65" i="2" s="1"/>
  <c r="J65" i="2"/>
  <c r="N64" i="2"/>
  <c r="V64" i="2" s="1"/>
  <c r="L64" i="2"/>
  <c r="T64" i="2" s="1"/>
  <c r="J64" i="2"/>
  <c r="N63" i="2"/>
  <c r="V63" i="2" s="1"/>
  <c r="L63" i="2"/>
  <c r="T63" i="2" s="1"/>
  <c r="J63" i="2"/>
  <c r="N62" i="2"/>
  <c r="V62" i="2" s="1"/>
  <c r="L62" i="2"/>
  <c r="T62" i="2" s="1"/>
  <c r="J62" i="2"/>
  <c r="N61" i="2"/>
  <c r="V61" i="2" s="1"/>
  <c r="L61" i="2"/>
  <c r="T61" i="2" s="1"/>
  <c r="J61" i="2"/>
  <c r="N60" i="2"/>
  <c r="V60" i="2" s="1"/>
  <c r="L60" i="2"/>
  <c r="T60" i="2" s="1"/>
  <c r="J60" i="2"/>
  <c r="N59" i="2"/>
  <c r="V59" i="2" s="1"/>
  <c r="L59" i="2"/>
  <c r="T59" i="2" s="1"/>
  <c r="J59" i="2"/>
  <c r="N58" i="2"/>
  <c r="V58" i="2" s="1"/>
  <c r="L58" i="2"/>
  <c r="T58" i="2" s="1"/>
  <c r="J58" i="2"/>
  <c r="N57" i="2"/>
  <c r="V57" i="2" s="1"/>
  <c r="L57" i="2"/>
  <c r="T57" i="2" s="1"/>
  <c r="J57" i="2"/>
  <c r="N56" i="2"/>
  <c r="V56" i="2" s="1"/>
  <c r="L56" i="2"/>
  <c r="T56" i="2" s="1"/>
  <c r="J56" i="2"/>
  <c r="N55" i="2"/>
  <c r="V55" i="2" s="1"/>
  <c r="L55" i="2"/>
  <c r="T55" i="2" s="1"/>
  <c r="J55" i="2"/>
  <c r="N54" i="2"/>
  <c r="V54" i="2" s="1"/>
  <c r="L54" i="2"/>
  <c r="T54" i="2" s="1"/>
  <c r="J54" i="2"/>
  <c r="N53" i="2"/>
  <c r="V53" i="2" s="1"/>
  <c r="L53" i="2"/>
  <c r="T53" i="2" s="1"/>
  <c r="J53" i="2"/>
  <c r="N52" i="2"/>
  <c r="V52" i="2" s="1"/>
  <c r="L52" i="2"/>
  <c r="T52" i="2" s="1"/>
  <c r="J52" i="2"/>
  <c r="X51" i="2"/>
  <c r="R51" i="2"/>
  <c r="N51" i="2"/>
  <c r="V51" i="2" s="1"/>
  <c r="L51" i="2"/>
  <c r="T51" i="2" s="1"/>
  <c r="N45" i="2"/>
  <c r="V45" i="2" s="1"/>
  <c r="L45" i="2"/>
  <c r="T45" i="2" s="1"/>
  <c r="J45" i="2"/>
  <c r="N44" i="2"/>
  <c r="V44" i="2" s="1"/>
  <c r="L44" i="2"/>
  <c r="T44" i="2" s="1"/>
  <c r="J44" i="2"/>
  <c r="N43" i="2"/>
  <c r="V43" i="2" s="1"/>
  <c r="L43" i="2"/>
  <c r="T43" i="2" s="1"/>
  <c r="J43" i="2"/>
  <c r="N42" i="2"/>
  <c r="V42" i="2" s="1"/>
  <c r="L42" i="2"/>
  <c r="T42" i="2" s="1"/>
  <c r="J42" i="2"/>
  <c r="N41" i="2"/>
  <c r="V41" i="2" s="1"/>
  <c r="L41" i="2"/>
  <c r="T41" i="2" s="1"/>
  <c r="J41" i="2"/>
  <c r="N40" i="2"/>
  <c r="V40" i="2" s="1"/>
  <c r="L40" i="2"/>
  <c r="T40" i="2" s="1"/>
  <c r="J40" i="2"/>
  <c r="N39" i="2"/>
  <c r="V39" i="2" s="1"/>
  <c r="L39" i="2"/>
  <c r="T39" i="2" s="1"/>
  <c r="J39" i="2"/>
  <c r="N38" i="2"/>
  <c r="V38" i="2" s="1"/>
  <c r="L38" i="2"/>
  <c r="T38" i="2" s="1"/>
  <c r="J38" i="2"/>
  <c r="N37" i="2"/>
  <c r="V37" i="2" s="1"/>
  <c r="L37" i="2"/>
  <c r="T37" i="2" s="1"/>
  <c r="J37" i="2"/>
  <c r="N36" i="2"/>
  <c r="V36" i="2" s="1"/>
  <c r="L36" i="2"/>
  <c r="T36" i="2" s="1"/>
  <c r="J36" i="2"/>
  <c r="N35" i="2"/>
  <c r="V35" i="2" s="1"/>
  <c r="L35" i="2"/>
  <c r="T35" i="2" s="1"/>
  <c r="J35" i="2"/>
  <c r="N34" i="2"/>
  <c r="V34" i="2" s="1"/>
  <c r="L34" i="2"/>
  <c r="T34" i="2" s="1"/>
  <c r="J34" i="2"/>
  <c r="N33" i="2"/>
  <c r="V33" i="2" s="1"/>
  <c r="L33" i="2"/>
  <c r="T33" i="2" s="1"/>
  <c r="J33" i="2"/>
  <c r="N32" i="2"/>
  <c r="V32" i="2" s="1"/>
  <c r="L32" i="2"/>
  <c r="T32" i="2" s="1"/>
  <c r="J32" i="2"/>
  <c r="N31" i="2"/>
  <c r="V31" i="2" s="1"/>
  <c r="L31" i="2"/>
  <c r="T31" i="2" s="1"/>
  <c r="J31" i="2"/>
  <c r="N30" i="2"/>
  <c r="V30" i="2" s="1"/>
  <c r="L30" i="2"/>
  <c r="T30" i="2" s="1"/>
  <c r="J30" i="2"/>
  <c r="N29" i="2"/>
  <c r="V29" i="2" s="1"/>
  <c r="L29" i="2"/>
  <c r="T29" i="2" s="1"/>
  <c r="J29" i="2"/>
  <c r="X28" i="2"/>
  <c r="R28" i="2"/>
  <c r="N28" i="2"/>
  <c r="V28" i="2" s="1"/>
  <c r="L28" i="2"/>
  <c r="T28" i="2" s="1"/>
  <c r="G27" i="2"/>
  <c r="G28" i="2" s="1"/>
  <c r="N22" i="2"/>
  <c r="V22" i="2" s="1"/>
  <c r="L22" i="2"/>
  <c r="T22" i="2" s="1"/>
  <c r="J22" i="2"/>
  <c r="AQ21" i="2"/>
  <c r="AN21" i="2"/>
  <c r="AO21" i="2" s="1"/>
  <c r="N21" i="2"/>
  <c r="V21" i="2" s="1"/>
  <c r="L21" i="2"/>
  <c r="T21" i="2" s="1"/>
  <c r="J21" i="2"/>
  <c r="AQ20" i="2"/>
  <c r="AN20" i="2"/>
  <c r="AO20" i="2" s="1"/>
  <c r="N20" i="2"/>
  <c r="V20" i="2" s="1"/>
  <c r="L20" i="2"/>
  <c r="T20" i="2" s="1"/>
  <c r="J20" i="2"/>
  <c r="AQ19" i="2"/>
  <c r="AN19" i="2"/>
  <c r="AO19" i="2" s="1"/>
  <c r="N19" i="2"/>
  <c r="V19" i="2" s="1"/>
  <c r="L19" i="2"/>
  <c r="T19" i="2" s="1"/>
  <c r="J19" i="2"/>
  <c r="AQ18" i="2"/>
  <c r="AN18" i="2"/>
  <c r="AO18" i="2" s="1"/>
  <c r="N18" i="2"/>
  <c r="V18" i="2" s="1"/>
  <c r="L18" i="2"/>
  <c r="T18" i="2" s="1"/>
  <c r="J18" i="2"/>
  <c r="AQ17" i="2"/>
  <c r="AN17" i="2"/>
  <c r="AO17" i="2" s="1"/>
  <c r="N17" i="2"/>
  <c r="V17" i="2" s="1"/>
  <c r="L17" i="2"/>
  <c r="T17" i="2" s="1"/>
  <c r="J17" i="2"/>
  <c r="AQ16" i="2"/>
  <c r="AN16" i="2"/>
  <c r="AO16" i="2" s="1"/>
  <c r="N16" i="2"/>
  <c r="V16" i="2" s="1"/>
  <c r="L16" i="2"/>
  <c r="T16" i="2" s="1"/>
  <c r="J16" i="2"/>
  <c r="AQ15" i="2"/>
  <c r="AN15" i="2"/>
  <c r="AO15" i="2" s="1"/>
  <c r="N15" i="2"/>
  <c r="V15" i="2" s="1"/>
  <c r="L15" i="2"/>
  <c r="T15" i="2" s="1"/>
  <c r="J15" i="2"/>
  <c r="AQ14" i="2"/>
  <c r="AN14" i="2"/>
  <c r="AO14" i="2" s="1"/>
  <c r="N14" i="2"/>
  <c r="V14" i="2" s="1"/>
  <c r="L14" i="2"/>
  <c r="T14" i="2" s="1"/>
  <c r="J14" i="2"/>
  <c r="AQ13" i="2"/>
  <c r="AN13" i="2"/>
  <c r="AO13" i="2" s="1"/>
  <c r="N13" i="2"/>
  <c r="V13" i="2" s="1"/>
  <c r="L13" i="2"/>
  <c r="T13" i="2" s="1"/>
  <c r="J13" i="2"/>
  <c r="N12" i="2"/>
  <c r="V12" i="2" s="1"/>
  <c r="L12" i="2"/>
  <c r="T12" i="2" s="1"/>
  <c r="J12" i="2"/>
  <c r="N11" i="2"/>
  <c r="V11" i="2" s="1"/>
  <c r="L11" i="2"/>
  <c r="T11" i="2" s="1"/>
  <c r="J11" i="2"/>
  <c r="N10" i="2"/>
  <c r="V10" i="2" s="1"/>
  <c r="L10" i="2"/>
  <c r="T10" i="2" s="1"/>
  <c r="J10" i="2"/>
  <c r="N9" i="2"/>
  <c r="V9" i="2" s="1"/>
  <c r="L9" i="2"/>
  <c r="T9" i="2" s="1"/>
  <c r="J9" i="2"/>
  <c r="N8" i="2"/>
  <c r="V8" i="2" s="1"/>
  <c r="L8" i="2"/>
  <c r="T8" i="2" s="1"/>
  <c r="J8" i="2"/>
  <c r="N7" i="2"/>
  <c r="V7" i="2" s="1"/>
  <c r="L7" i="2"/>
  <c r="T7" i="2" s="1"/>
  <c r="J7" i="2"/>
  <c r="N6" i="2"/>
  <c r="V6" i="2" s="1"/>
  <c r="L6" i="2"/>
  <c r="T6" i="2" s="1"/>
  <c r="J6" i="2"/>
  <c r="X5" i="2"/>
  <c r="R5" i="2"/>
  <c r="N5" i="2"/>
  <c r="V5" i="2" s="1"/>
  <c r="L5" i="2"/>
  <c r="T5" i="2" s="1"/>
  <c r="P16" i="1"/>
  <c r="Q16" i="1" s="1"/>
  <c r="B22" i="1"/>
  <c r="F7" i="1"/>
  <c r="B5" i="1"/>
  <c r="F2" i="1"/>
  <c r="K19" i="1" s="1"/>
  <c r="F11" i="1" l="1"/>
  <c r="B2" i="12"/>
  <c r="L3" i="10"/>
  <c r="O17" i="10" s="1"/>
  <c r="C8" i="9"/>
  <c r="C8" i="8"/>
  <c r="C20" i="7"/>
  <c r="N7" i="6"/>
  <c r="K22" i="1"/>
  <c r="J4" i="1"/>
  <c r="F3" i="1"/>
  <c r="F8" i="1"/>
  <c r="R6" i="2"/>
  <c r="P6" i="2"/>
  <c r="X6" i="2" s="1"/>
  <c r="R7" i="2"/>
  <c r="P7" i="2"/>
  <c r="X7" i="2" s="1"/>
  <c r="R8" i="2"/>
  <c r="P8" i="2"/>
  <c r="X8" i="2" s="1"/>
  <c r="R9" i="2"/>
  <c r="P9" i="2"/>
  <c r="X9" i="2" s="1"/>
  <c r="R10" i="2"/>
  <c r="P10" i="2"/>
  <c r="X10" i="2" s="1"/>
  <c r="R11" i="2"/>
  <c r="P11" i="2"/>
  <c r="X11" i="2" s="1"/>
  <c r="R12" i="2"/>
  <c r="P12" i="2"/>
  <c r="X12" i="2" s="1"/>
  <c r="R13" i="2"/>
  <c r="P13" i="2"/>
  <c r="X13" i="2" s="1"/>
  <c r="AT13" i="2"/>
  <c r="AN26" i="2" s="1"/>
  <c r="AS13" i="2"/>
  <c r="AU13" i="2" s="1"/>
  <c r="AT26" i="2"/>
  <c r="AR13" i="2"/>
  <c r="R14" i="2"/>
  <c r="P14" i="2"/>
  <c r="X14" i="2" s="1"/>
  <c r="AT14" i="2"/>
  <c r="AN27" i="2" s="1"/>
  <c r="AS14" i="2"/>
  <c r="AU14" i="2" s="1"/>
  <c r="AT27" i="2"/>
  <c r="AR14" i="2"/>
  <c r="R15" i="2"/>
  <c r="P15" i="2"/>
  <c r="X15" i="2" s="1"/>
  <c r="AT15" i="2"/>
  <c r="AN28" i="2" s="1"/>
  <c r="AS15" i="2"/>
  <c r="AU15" i="2" s="1"/>
  <c r="AT28" i="2"/>
  <c r="AR15" i="2"/>
  <c r="R16" i="2"/>
  <c r="P16" i="2"/>
  <c r="X16" i="2" s="1"/>
  <c r="AT16" i="2"/>
  <c r="AN29" i="2" s="1"/>
  <c r="AS16" i="2"/>
  <c r="AU16" i="2" s="1"/>
  <c r="AT29" i="2"/>
  <c r="AR16" i="2"/>
  <c r="R17" i="2"/>
  <c r="P17" i="2"/>
  <c r="X17" i="2" s="1"/>
  <c r="AT17" i="2"/>
  <c r="AN30" i="2" s="1"/>
  <c r="AS17" i="2"/>
  <c r="AU17" i="2" s="1"/>
  <c r="AT30" i="2"/>
  <c r="AR17" i="2"/>
  <c r="R18" i="2"/>
  <c r="P18" i="2"/>
  <c r="X18" i="2" s="1"/>
  <c r="AT18" i="2"/>
  <c r="AN31" i="2" s="1"/>
  <c r="AS18" i="2"/>
  <c r="AU18" i="2" s="1"/>
  <c r="AT31" i="2"/>
  <c r="AR18" i="2"/>
  <c r="R19" i="2"/>
  <c r="P19" i="2"/>
  <c r="X19" i="2" s="1"/>
  <c r="AT19" i="2"/>
  <c r="AN32" i="2" s="1"/>
  <c r="AS19" i="2"/>
  <c r="AU19" i="2" s="1"/>
  <c r="AT32" i="2"/>
  <c r="AR19" i="2"/>
  <c r="R20" i="2"/>
  <c r="P20" i="2"/>
  <c r="X20" i="2" s="1"/>
  <c r="AT20" i="2"/>
  <c r="AN33" i="2" s="1"/>
  <c r="AS20" i="2"/>
  <c r="AU20" i="2" s="1"/>
  <c r="AT33" i="2"/>
  <c r="AR20" i="2"/>
  <c r="R21" i="2"/>
  <c r="P21" i="2"/>
  <c r="X21" i="2" s="1"/>
  <c r="AT21" i="2"/>
  <c r="AN34" i="2" s="1"/>
  <c r="AS21" i="2"/>
  <c r="AU21" i="2" s="1"/>
  <c r="AT34" i="2"/>
  <c r="AR21" i="2"/>
  <c r="R22" i="2"/>
  <c r="P22" i="2"/>
  <c r="X22" i="2" s="1"/>
  <c r="R29" i="2"/>
  <c r="P29" i="2"/>
  <c r="X29" i="2" s="1"/>
  <c r="R30" i="2"/>
  <c r="P30" i="2"/>
  <c r="X30" i="2" s="1"/>
  <c r="R31" i="2"/>
  <c r="P31" i="2"/>
  <c r="X31" i="2" s="1"/>
  <c r="R32" i="2"/>
  <c r="P32" i="2"/>
  <c r="X32" i="2" s="1"/>
  <c r="R33" i="2"/>
  <c r="P33" i="2"/>
  <c r="X33" i="2" s="1"/>
  <c r="R34" i="2"/>
  <c r="P34" i="2"/>
  <c r="X34" i="2" s="1"/>
  <c r="R35" i="2"/>
  <c r="P35" i="2"/>
  <c r="X35" i="2" s="1"/>
  <c r="R36" i="2"/>
  <c r="P36" i="2"/>
  <c r="X36" i="2" s="1"/>
  <c r="R37" i="2"/>
  <c r="P37" i="2"/>
  <c r="X37" i="2" s="1"/>
  <c r="R38" i="2"/>
  <c r="P38" i="2"/>
  <c r="X38" i="2" s="1"/>
  <c r="R39" i="2"/>
  <c r="P39" i="2"/>
  <c r="X39" i="2" s="1"/>
  <c r="R40" i="2"/>
  <c r="P40" i="2"/>
  <c r="X40" i="2" s="1"/>
  <c r="R41" i="2"/>
  <c r="P41" i="2"/>
  <c r="X41" i="2" s="1"/>
  <c r="R42" i="2"/>
  <c r="P42" i="2"/>
  <c r="X42" i="2" s="1"/>
  <c r="R43" i="2"/>
  <c r="P43" i="2"/>
  <c r="X43" i="2" s="1"/>
  <c r="R44" i="2"/>
  <c r="P44" i="2"/>
  <c r="X44" i="2" s="1"/>
  <c r="R45" i="2"/>
  <c r="P45" i="2"/>
  <c r="X45" i="2" s="1"/>
  <c r="R52" i="2"/>
  <c r="P52" i="2"/>
  <c r="X52" i="2" s="1"/>
  <c r="R53" i="2"/>
  <c r="P53" i="2"/>
  <c r="X53" i="2" s="1"/>
  <c r="R54" i="2"/>
  <c r="P54" i="2"/>
  <c r="X54" i="2" s="1"/>
  <c r="R55" i="2"/>
  <c r="P55" i="2"/>
  <c r="X55" i="2" s="1"/>
  <c r="R56" i="2"/>
  <c r="P56" i="2"/>
  <c r="X56" i="2" s="1"/>
  <c r="R57" i="2"/>
  <c r="P57" i="2"/>
  <c r="X57" i="2" s="1"/>
  <c r="R58" i="2"/>
  <c r="P58" i="2"/>
  <c r="X58" i="2" s="1"/>
  <c r="R59" i="2"/>
  <c r="P59" i="2"/>
  <c r="X59" i="2" s="1"/>
  <c r="R60" i="2"/>
  <c r="P60" i="2"/>
  <c r="X60" i="2" s="1"/>
  <c r="R61" i="2"/>
  <c r="P61" i="2"/>
  <c r="X61" i="2" s="1"/>
  <c r="R62" i="2"/>
  <c r="P62" i="2"/>
  <c r="X62" i="2" s="1"/>
  <c r="R63" i="2"/>
  <c r="P63" i="2"/>
  <c r="X63" i="2" s="1"/>
  <c r="R64" i="2"/>
  <c r="P64" i="2"/>
  <c r="X64" i="2" s="1"/>
  <c r="R65" i="2"/>
  <c r="P65" i="2"/>
  <c r="X65" i="2" s="1"/>
  <c r="R66" i="2"/>
  <c r="P66" i="2"/>
  <c r="X66" i="2" s="1"/>
  <c r="R67" i="2"/>
  <c r="P67" i="2"/>
  <c r="X67" i="2" s="1"/>
  <c r="R68" i="2"/>
  <c r="P68" i="2"/>
  <c r="X68" i="2" s="1"/>
  <c r="H59" i="5"/>
  <c r="L45" i="5"/>
  <c r="J45" i="5"/>
  <c r="L46" i="5"/>
  <c r="J46" i="5"/>
  <c r="L47" i="5"/>
  <c r="J47" i="5"/>
  <c r="L48" i="5"/>
  <c r="J48" i="5"/>
  <c r="L49" i="5"/>
  <c r="J49" i="5"/>
  <c r="L50" i="5"/>
  <c r="J50" i="5"/>
  <c r="L51" i="5"/>
  <c r="J51" i="5"/>
  <c r="L52" i="5"/>
  <c r="J52" i="5"/>
  <c r="P54" i="5"/>
  <c r="L53" i="5"/>
  <c r="J53" i="5"/>
  <c r="L54" i="5"/>
  <c r="J54" i="5"/>
  <c r="L55" i="5"/>
  <c r="J55" i="5"/>
  <c r="L56" i="5"/>
  <c r="J56" i="5"/>
  <c r="E28" i="3"/>
  <c r="L57" i="5"/>
  <c r="J57" i="5"/>
  <c r="L58" i="5"/>
  <c r="J58" i="5"/>
  <c r="R45" i="4"/>
  <c r="S25" i="7"/>
  <c r="S23" i="7"/>
  <c r="S27" i="7" s="1"/>
  <c r="Z29" i="7"/>
  <c r="Z27" i="7"/>
  <c r="Z31" i="7" s="1"/>
  <c r="C11" i="12"/>
  <c r="C13" i="9"/>
  <c r="C13" i="8"/>
  <c r="G4" i="11"/>
  <c r="X72" i="9"/>
  <c r="X51" i="9"/>
  <c r="X30" i="9"/>
  <c r="X8" i="9"/>
  <c r="G5" i="11"/>
  <c r="X73" i="9"/>
  <c r="X52" i="9"/>
  <c r="X31" i="9"/>
  <c r="X9" i="9"/>
  <c r="G6" i="11"/>
  <c r="X74" i="9"/>
  <c r="X53" i="9"/>
  <c r="X32" i="9"/>
  <c r="X10" i="9"/>
  <c r="G7" i="11"/>
  <c r="X75" i="9"/>
  <c r="X54" i="9"/>
  <c r="X33" i="9"/>
  <c r="X11" i="9"/>
  <c r="G8" i="11"/>
  <c r="X76" i="9"/>
  <c r="X55" i="9"/>
  <c r="X34" i="9"/>
  <c r="X12" i="9"/>
  <c r="G9" i="11"/>
  <c r="X77" i="9"/>
  <c r="X56" i="9"/>
  <c r="X35" i="9"/>
  <c r="X13" i="9"/>
  <c r="G10" i="11"/>
  <c r="X78" i="9"/>
  <c r="X57" i="9"/>
  <c r="X36" i="9"/>
  <c r="X14" i="9"/>
  <c r="G11" i="11"/>
  <c r="X79" i="9"/>
  <c r="X58" i="9"/>
  <c r="X37" i="9"/>
  <c r="X15" i="9"/>
  <c r="G12" i="11"/>
  <c r="X80" i="9"/>
  <c r="X59" i="9"/>
  <c r="X38" i="9"/>
  <c r="X16" i="9"/>
  <c r="G13" i="11"/>
  <c r="X81" i="9"/>
  <c r="X60" i="9"/>
  <c r="X39" i="9"/>
  <c r="X17" i="9"/>
  <c r="G14" i="11"/>
  <c r="X82" i="9"/>
  <c r="X61" i="9"/>
  <c r="X40" i="9"/>
  <c r="X18" i="9"/>
  <c r="X83" i="9"/>
  <c r="X62" i="9"/>
  <c r="X41" i="9"/>
  <c r="X19" i="9"/>
  <c r="X84" i="9"/>
  <c r="X63" i="9"/>
  <c r="X42" i="9"/>
  <c r="X20" i="9"/>
  <c r="X85" i="9"/>
  <c r="X64" i="9"/>
  <c r="X43" i="9"/>
  <c r="X21" i="9"/>
  <c r="X86" i="9"/>
  <c r="X65" i="9"/>
  <c r="X44" i="9"/>
  <c r="X22" i="9"/>
  <c r="Y86" i="9"/>
  <c r="Z86" i="9" s="1"/>
  <c r="AE86" i="9" s="1"/>
  <c r="AK40" i="10" s="1"/>
  <c r="Y85" i="9"/>
  <c r="Z85" i="9" s="1"/>
  <c r="AE85" i="9" s="1"/>
  <c r="AK39" i="10" s="1"/>
  <c r="Y84" i="9"/>
  <c r="Z84" i="9" s="1"/>
  <c r="AE84" i="9" s="1"/>
  <c r="AK38" i="10" s="1"/>
  <c r="Y83" i="9"/>
  <c r="Z83" i="9" s="1"/>
  <c r="AE83" i="9" s="1"/>
  <c r="AK37" i="10" s="1"/>
  <c r="Y82" i="9"/>
  <c r="Z82" i="9" s="1"/>
  <c r="AE82" i="9" s="1"/>
  <c r="AK36" i="10" s="1"/>
  <c r="Y81" i="9"/>
  <c r="Z81" i="9" s="1"/>
  <c r="AE81" i="9" s="1"/>
  <c r="AK35" i="10" s="1"/>
  <c r="Y80" i="9"/>
  <c r="Z80" i="9" s="1"/>
  <c r="AE80" i="9" s="1"/>
  <c r="Y79" i="9"/>
  <c r="Z79" i="9" s="1"/>
  <c r="AE79" i="9" s="1"/>
  <c r="Y78" i="9"/>
  <c r="Z78" i="9" s="1"/>
  <c r="AE78" i="9" s="1"/>
  <c r="Y77" i="9"/>
  <c r="Z77" i="9" s="1"/>
  <c r="AE77" i="9" s="1"/>
  <c r="Y76" i="9"/>
  <c r="Z76" i="9" s="1"/>
  <c r="AE76" i="9" s="1"/>
  <c r="Y75" i="9"/>
  <c r="Z75" i="9" s="1"/>
  <c r="AE75" i="9" s="1"/>
  <c r="Y74" i="9"/>
  <c r="Z74" i="9" s="1"/>
  <c r="AE74" i="9" s="1"/>
  <c r="Y73" i="9"/>
  <c r="Z73" i="9" s="1"/>
  <c r="AE73" i="9" s="1"/>
  <c r="Y72" i="9"/>
  <c r="Z72" i="9" s="1"/>
  <c r="AE72" i="9" s="1"/>
  <c r="Y65" i="9"/>
  <c r="Z65" i="9" s="1"/>
  <c r="AE65" i="9" s="1"/>
  <c r="AE40" i="10" s="1"/>
  <c r="Y64" i="9"/>
  <c r="Z64" i="9" s="1"/>
  <c r="AE64" i="9" s="1"/>
  <c r="AE39" i="10" s="1"/>
  <c r="Y63" i="9"/>
  <c r="Z63" i="9" s="1"/>
  <c r="AE63" i="9" s="1"/>
  <c r="AE38" i="10" s="1"/>
  <c r="Y62" i="9"/>
  <c r="Z62" i="9" s="1"/>
  <c r="AE62" i="9" s="1"/>
  <c r="AE37" i="10" s="1"/>
  <c r="Y61" i="9"/>
  <c r="Z61" i="9" s="1"/>
  <c r="AE61" i="9" s="1"/>
  <c r="AE36" i="10" s="1"/>
  <c r="Y60" i="9"/>
  <c r="Z60" i="9" s="1"/>
  <c r="AE60" i="9" s="1"/>
  <c r="AE35" i="10" s="1"/>
  <c r="Y59" i="9"/>
  <c r="Z59" i="9" s="1"/>
  <c r="AE59" i="9" s="1"/>
  <c r="Y58" i="9"/>
  <c r="Z58" i="9" s="1"/>
  <c r="AE58" i="9" s="1"/>
  <c r="Y57" i="9"/>
  <c r="Z57" i="9" s="1"/>
  <c r="AE57" i="9" s="1"/>
  <c r="Y56" i="9"/>
  <c r="Z56" i="9" s="1"/>
  <c r="AE56" i="9" s="1"/>
  <c r="Y55" i="9"/>
  <c r="Z55" i="9" s="1"/>
  <c r="AE55" i="9" s="1"/>
  <c r="Y54" i="9"/>
  <c r="Z54" i="9" s="1"/>
  <c r="AE54" i="9" s="1"/>
  <c r="Y53" i="9"/>
  <c r="Z53" i="9" s="1"/>
  <c r="AE53" i="9" s="1"/>
  <c r="Y52" i="9"/>
  <c r="Z52" i="9" s="1"/>
  <c r="AE52" i="9" s="1"/>
  <c r="Y51" i="9"/>
  <c r="Z51" i="9" s="1"/>
  <c r="AE51" i="9" s="1"/>
  <c r="Y44" i="9"/>
  <c r="Z44" i="9" s="1"/>
  <c r="AE44" i="9" s="1"/>
  <c r="Y40" i="10" s="1"/>
  <c r="Y43" i="9"/>
  <c r="Z43" i="9" s="1"/>
  <c r="AE43" i="9" s="1"/>
  <c r="Y39" i="10" s="1"/>
  <c r="Y42" i="9"/>
  <c r="Z42" i="9" s="1"/>
  <c r="AE42" i="9" s="1"/>
  <c r="Y38" i="10" s="1"/>
  <c r="Y41" i="9"/>
  <c r="Z41" i="9" s="1"/>
  <c r="AE41" i="9" s="1"/>
  <c r="Y37" i="10" s="1"/>
  <c r="Y40" i="9"/>
  <c r="Z40" i="9" s="1"/>
  <c r="AE40" i="9" s="1"/>
  <c r="Y36" i="10" s="1"/>
  <c r="Y39" i="9"/>
  <c r="Z39" i="9" s="1"/>
  <c r="AE39" i="9" s="1"/>
  <c r="Y35" i="10" s="1"/>
  <c r="Y38" i="9"/>
  <c r="Z38" i="9" s="1"/>
  <c r="AE38" i="9" s="1"/>
  <c r="Y34" i="10" s="1"/>
  <c r="Y37" i="9"/>
  <c r="Z37" i="9" s="1"/>
  <c r="AE37" i="9" s="1"/>
  <c r="Y33" i="10" s="1"/>
  <c r="Y36" i="9"/>
  <c r="Z36" i="9" s="1"/>
  <c r="AE36" i="9" s="1"/>
  <c r="Y32" i="10" s="1"/>
  <c r="Y35" i="9"/>
  <c r="Z35" i="9" s="1"/>
  <c r="AE35" i="9" s="1"/>
  <c r="Y31" i="10" s="1"/>
  <c r="Y34" i="9"/>
  <c r="Z34" i="9" s="1"/>
  <c r="AE34" i="9" s="1"/>
  <c r="Y33" i="9"/>
  <c r="Z33" i="9" s="1"/>
  <c r="AE33" i="9" s="1"/>
  <c r="C33" i="9"/>
  <c r="Y32" i="9"/>
  <c r="Z32" i="9" s="1"/>
  <c r="AE32" i="9" s="1"/>
  <c r="O9" i="10"/>
  <c r="O10" i="10"/>
  <c r="O11" i="10"/>
  <c r="O12" i="10"/>
  <c r="O13" i="10"/>
  <c r="O14" i="10"/>
  <c r="O15" i="10"/>
  <c r="O16" i="10"/>
  <c r="O18" i="10"/>
  <c r="Y28" i="10" l="1"/>
  <c r="Y11" i="10"/>
  <c r="Y29" i="10"/>
  <c r="Y12" i="10"/>
  <c r="Y30" i="10"/>
  <c r="Y14" i="10"/>
  <c r="AE26" i="10"/>
  <c r="AE9" i="10"/>
  <c r="AE27" i="10"/>
  <c r="AE10" i="10"/>
  <c r="AE28" i="10"/>
  <c r="AE11" i="10"/>
  <c r="AE29" i="10"/>
  <c r="AE12" i="10"/>
  <c r="AE30" i="10"/>
  <c r="AE13" i="10"/>
  <c r="AE31" i="10"/>
  <c r="AE14" i="10"/>
  <c r="AE32" i="10"/>
  <c r="AE15" i="10"/>
  <c r="AE33" i="10"/>
  <c r="AE16" i="10"/>
  <c r="AE34" i="10"/>
  <c r="AE18" i="10"/>
  <c r="AK26" i="10"/>
  <c r="AK9" i="10"/>
  <c r="AK27" i="10"/>
  <c r="AK10" i="10"/>
  <c r="AK28" i="10"/>
  <c r="AK11" i="10"/>
  <c r="AK29" i="10"/>
  <c r="AK12" i="10"/>
  <c r="AK30" i="10"/>
  <c r="AK13" i="10"/>
  <c r="AK31" i="10"/>
  <c r="AK14" i="10"/>
  <c r="AK32" i="10"/>
  <c r="AK15" i="10"/>
  <c r="AK33" i="10"/>
  <c r="AK16" i="10"/>
  <c r="AK34" i="10"/>
  <c r="AK18" i="10"/>
  <c r="Y22" i="9"/>
  <c r="Z22" i="9" s="1"/>
  <c r="AE22" i="9" s="1"/>
  <c r="S40" i="10" s="1"/>
  <c r="Y21" i="9"/>
  <c r="Z21" i="9" s="1"/>
  <c r="AE21" i="9" s="1"/>
  <c r="S39" i="10" s="1"/>
  <c r="Y20" i="9"/>
  <c r="Z20" i="9" s="1"/>
  <c r="AE20" i="9" s="1"/>
  <c r="S38" i="10" s="1"/>
  <c r="Y19" i="9"/>
  <c r="Z19" i="9" s="1"/>
  <c r="AE19" i="9" s="1"/>
  <c r="S37" i="10" s="1"/>
  <c r="Y18" i="9"/>
  <c r="Z18" i="9" s="1"/>
  <c r="AE18" i="9" s="1"/>
  <c r="S36" i="10" s="1"/>
  <c r="P14" i="11"/>
  <c r="H14" i="11"/>
  <c r="Y17" i="9"/>
  <c r="Z17" i="9" s="1"/>
  <c r="AE17" i="9" s="1"/>
  <c r="S35" i="10" s="1"/>
  <c r="P13" i="11"/>
  <c r="H13" i="11"/>
  <c r="Y16" i="9"/>
  <c r="Z16" i="9" s="1"/>
  <c r="AE16" i="9" s="1"/>
  <c r="S34" i="10" s="1"/>
  <c r="P12" i="11"/>
  <c r="H12" i="11"/>
  <c r="Y15" i="9"/>
  <c r="Z15" i="9" s="1"/>
  <c r="AE15" i="9" s="1"/>
  <c r="S33" i="10" s="1"/>
  <c r="P11" i="11"/>
  <c r="H11" i="11"/>
  <c r="Y14" i="9"/>
  <c r="Z14" i="9" s="1"/>
  <c r="AE14" i="9" s="1"/>
  <c r="S32" i="10" s="1"/>
  <c r="P10" i="11"/>
  <c r="H10" i="11"/>
  <c r="Y13" i="9"/>
  <c r="Z13" i="9" s="1"/>
  <c r="AE13" i="9" s="1"/>
  <c r="P9" i="11"/>
  <c r="H9" i="11"/>
  <c r="Y12" i="9"/>
  <c r="Z12" i="9" s="1"/>
  <c r="AE12" i="9" s="1"/>
  <c r="P8" i="11"/>
  <c r="H8" i="11"/>
  <c r="Y11" i="9"/>
  <c r="Z11" i="9" s="1"/>
  <c r="AE11" i="9" s="1"/>
  <c r="P7" i="11"/>
  <c r="H7" i="11"/>
  <c r="Y10" i="9"/>
  <c r="Z10" i="9" s="1"/>
  <c r="AE10" i="9" s="1"/>
  <c r="P6" i="11"/>
  <c r="H6" i="11"/>
  <c r="Y9" i="9"/>
  <c r="Z9" i="9" s="1"/>
  <c r="AE9" i="9" s="1"/>
  <c r="Y31" i="9"/>
  <c r="Z31" i="9" s="1"/>
  <c r="AE31" i="9" s="1"/>
  <c r="P5" i="11"/>
  <c r="H5" i="11"/>
  <c r="Y8" i="9"/>
  <c r="Z8" i="9" s="1"/>
  <c r="AE8" i="9" s="1"/>
  <c r="Y30" i="9"/>
  <c r="Z30" i="9" s="1"/>
  <c r="AE30" i="9" s="1"/>
  <c r="Y26" i="10" s="1"/>
  <c r="P4" i="11"/>
  <c r="H4" i="11"/>
  <c r="H3" i="12"/>
  <c r="J59" i="5"/>
  <c r="L59" i="5"/>
  <c r="O43" i="5" s="1"/>
  <c r="H84" i="5"/>
  <c r="H76" i="5"/>
  <c r="H79" i="5" s="1"/>
  <c r="H65" i="5"/>
  <c r="AU34" i="2"/>
  <c r="AO34" i="2"/>
  <c r="AP34" i="2" s="1"/>
  <c r="AL34" i="2"/>
  <c r="AM34" i="2"/>
  <c r="AR34" i="2" s="1"/>
  <c r="AS34" i="2" s="1"/>
  <c r="AU33" i="2"/>
  <c r="AO33" i="2"/>
  <c r="AP33" i="2" s="1"/>
  <c r="AL33" i="2"/>
  <c r="AM33" i="2"/>
  <c r="AR33" i="2" s="1"/>
  <c r="AS33" i="2" s="1"/>
  <c r="AU32" i="2"/>
  <c r="AO32" i="2"/>
  <c r="AP32" i="2" s="1"/>
  <c r="AL32" i="2"/>
  <c r="AM32" i="2"/>
  <c r="AR32" i="2" s="1"/>
  <c r="AS32" i="2" s="1"/>
  <c r="AU31" i="2"/>
  <c r="AO31" i="2"/>
  <c r="AP31" i="2" s="1"/>
  <c r="AL31" i="2"/>
  <c r="AM31" i="2"/>
  <c r="AR31" i="2" s="1"/>
  <c r="AS31" i="2" s="1"/>
  <c r="AU30" i="2"/>
  <c r="AO30" i="2"/>
  <c r="AP30" i="2" s="1"/>
  <c r="AL30" i="2"/>
  <c r="AM30" i="2"/>
  <c r="AR30" i="2" s="1"/>
  <c r="AS30" i="2" s="1"/>
  <c r="AU29" i="2"/>
  <c r="AO29" i="2"/>
  <c r="AP29" i="2" s="1"/>
  <c r="AL29" i="2"/>
  <c r="AM29" i="2"/>
  <c r="AR29" i="2" s="1"/>
  <c r="AS29" i="2" s="1"/>
  <c r="AU28" i="2"/>
  <c r="AO28" i="2"/>
  <c r="AP28" i="2" s="1"/>
  <c r="AL28" i="2"/>
  <c r="AM28" i="2"/>
  <c r="AR28" i="2" s="1"/>
  <c r="AS28" i="2" s="1"/>
  <c r="AU27" i="2"/>
  <c r="AO27" i="2"/>
  <c r="AP27" i="2" s="1"/>
  <c r="AL27" i="2"/>
  <c r="AM27" i="2"/>
  <c r="AR27" i="2" s="1"/>
  <c r="AS27" i="2" s="1"/>
  <c r="AU26" i="2"/>
  <c r="AO26" i="2"/>
  <c r="AP26" i="2" s="1"/>
  <c r="AL26" i="2"/>
  <c r="AM26" i="2"/>
  <c r="N10" i="6"/>
  <c r="F15" i="1"/>
  <c r="F12" i="1"/>
  <c r="C19" i="7"/>
  <c r="N8" i="6"/>
  <c r="B3" i="12"/>
  <c r="C9" i="9"/>
  <c r="C9" i="8"/>
  <c r="G15" i="7"/>
  <c r="N14" i="6"/>
  <c r="J6" i="1"/>
  <c r="W4" i="1"/>
  <c r="K4" i="1"/>
  <c r="H15" i="7" s="1"/>
  <c r="K20" i="1"/>
  <c r="I20" i="6"/>
  <c r="I21" i="6" s="1"/>
  <c r="I16" i="6"/>
  <c r="I17" i="6" s="1"/>
  <c r="I19" i="6" s="1"/>
  <c r="I22" i="6" s="1"/>
  <c r="I23" i="6" s="1"/>
  <c r="D16" i="8"/>
  <c r="C16" i="8"/>
  <c r="C18" i="8" s="1"/>
  <c r="F7" i="8" s="1"/>
  <c r="G7" i="8"/>
  <c r="D16" i="9"/>
  <c r="C16" i="9"/>
  <c r="C18" i="9" s="1"/>
  <c r="F7" i="9" s="1"/>
  <c r="F8" i="9" s="1"/>
  <c r="F9" i="9" s="1"/>
  <c r="F10" i="9" s="1"/>
  <c r="F11" i="9" s="1"/>
  <c r="F12" i="9" s="1"/>
  <c r="F13" i="9" s="1"/>
  <c r="F14" i="9" s="1"/>
  <c r="G14" i="9"/>
  <c r="G13" i="9"/>
  <c r="G12" i="9"/>
  <c r="G11" i="9"/>
  <c r="G10" i="9"/>
  <c r="G9" i="9"/>
  <c r="G8" i="9"/>
  <c r="G7" i="9"/>
  <c r="O29" i="9" l="1"/>
  <c r="F15" i="9"/>
  <c r="K26" i="10"/>
  <c r="F8" i="8"/>
  <c r="R7" i="8"/>
  <c r="P7" i="8"/>
  <c r="N7" i="8"/>
  <c r="W26" i="10" s="1"/>
  <c r="L7" i="8"/>
  <c r="Y35" i="7"/>
  <c r="P31" i="7"/>
  <c r="G16" i="7"/>
  <c r="X4" i="1"/>
  <c r="H16" i="7" s="1"/>
  <c r="B29" i="1"/>
  <c r="M4" i="1" s="1"/>
  <c r="J10" i="1"/>
  <c r="J8" i="1"/>
  <c r="W6" i="1"/>
  <c r="X6" i="1" s="1"/>
  <c r="K6" i="1"/>
  <c r="N11" i="6"/>
  <c r="H69" i="5"/>
  <c r="D8" i="3"/>
  <c r="F16" i="1"/>
  <c r="F19" i="1"/>
  <c r="B4" i="12"/>
  <c r="G7" i="12" s="1"/>
  <c r="E7" i="3"/>
  <c r="D3" i="3"/>
  <c r="H70" i="5"/>
  <c r="H90" i="5"/>
  <c r="K84" i="5"/>
  <c r="L84" i="5" s="1"/>
  <c r="L90" i="5" s="1"/>
  <c r="O82" i="5" s="1"/>
  <c r="K76" i="5"/>
  <c r="L76" i="5" s="1"/>
  <c r="L79" i="5" s="1"/>
  <c r="O74" i="5" s="1"/>
  <c r="K65" i="5"/>
  <c r="L65" i="5" s="1"/>
  <c r="J65" i="5"/>
  <c r="O42" i="5"/>
  <c r="K4" i="11"/>
  <c r="L4" i="11" s="1"/>
  <c r="I4" i="11"/>
  <c r="J4" i="11" s="1"/>
  <c r="O4" i="11" s="1"/>
  <c r="S4" i="11"/>
  <c r="T4" i="11" s="1"/>
  <c r="Q4" i="11"/>
  <c r="R4" i="11" s="1"/>
  <c r="W4" i="11" s="1"/>
  <c r="S26" i="10"/>
  <c r="S9" i="10"/>
  <c r="K5" i="11"/>
  <c r="L5" i="11" s="1"/>
  <c r="I5" i="11"/>
  <c r="J5" i="11" s="1"/>
  <c r="O5" i="11" s="1"/>
  <c r="S5" i="11"/>
  <c r="T5" i="11" s="1"/>
  <c r="Q5" i="11"/>
  <c r="R5" i="11" s="1"/>
  <c r="W5" i="11" s="1"/>
  <c r="Y27" i="10"/>
  <c r="Y10" i="10"/>
  <c r="S27" i="10"/>
  <c r="S10" i="10"/>
  <c r="K6" i="11"/>
  <c r="L6" i="11" s="1"/>
  <c r="I6" i="11"/>
  <c r="J6" i="11" s="1"/>
  <c r="O6" i="11" s="1"/>
  <c r="S6" i="11"/>
  <c r="T6" i="11" s="1"/>
  <c r="Q6" i="11"/>
  <c r="R6" i="11" s="1"/>
  <c r="W6" i="11" s="1"/>
  <c r="S28" i="10"/>
  <c r="S11" i="10"/>
  <c r="K7" i="11"/>
  <c r="L7" i="11" s="1"/>
  <c r="I7" i="11"/>
  <c r="J7" i="11" s="1"/>
  <c r="O7" i="11" s="1"/>
  <c r="S7" i="11"/>
  <c r="T7" i="11" s="1"/>
  <c r="Q7" i="11"/>
  <c r="R7" i="11" s="1"/>
  <c r="W7" i="11" s="1"/>
  <c r="S29" i="10"/>
  <c r="S12" i="10"/>
  <c r="K8" i="11"/>
  <c r="L8" i="11" s="1"/>
  <c r="I8" i="11"/>
  <c r="J8" i="11" s="1"/>
  <c r="O8" i="11" s="1"/>
  <c r="S8" i="11"/>
  <c r="T8" i="11" s="1"/>
  <c r="Q8" i="11"/>
  <c r="R8" i="11" s="1"/>
  <c r="W8" i="11" s="1"/>
  <c r="AB8" i="11" s="1"/>
  <c r="AB7" i="11" s="1"/>
  <c r="AD7" i="11" s="1"/>
  <c r="S30" i="10"/>
  <c r="S13" i="10"/>
  <c r="K9" i="11"/>
  <c r="L9" i="11" s="1"/>
  <c r="I9" i="11"/>
  <c r="J9" i="11" s="1"/>
  <c r="O9" i="11" s="1"/>
  <c r="S9" i="11"/>
  <c r="T9" i="11" s="1"/>
  <c r="Q9" i="11"/>
  <c r="R9" i="11" s="1"/>
  <c r="W9" i="11" s="1"/>
  <c r="S31" i="10"/>
  <c r="S14" i="10"/>
  <c r="K10" i="11"/>
  <c r="L10" i="11" s="1"/>
  <c r="I10" i="11"/>
  <c r="J10" i="11" s="1"/>
  <c r="O10" i="11" s="1"/>
  <c r="S10" i="11"/>
  <c r="T10" i="11" s="1"/>
  <c r="Q10" i="11"/>
  <c r="R10" i="11" s="1"/>
  <c r="W10" i="11" s="1"/>
  <c r="K11" i="11"/>
  <c r="L11" i="11" s="1"/>
  <c r="I11" i="11"/>
  <c r="J11" i="11" s="1"/>
  <c r="O11" i="11" s="1"/>
  <c r="S11" i="11"/>
  <c r="T11" i="11" s="1"/>
  <c r="Q11" i="11"/>
  <c r="R11" i="11" s="1"/>
  <c r="W11" i="11" s="1"/>
  <c r="K12" i="11"/>
  <c r="L12" i="11" s="1"/>
  <c r="I12" i="11"/>
  <c r="J12" i="11" s="1"/>
  <c r="O12" i="11" s="1"/>
  <c r="S12" i="11"/>
  <c r="T12" i="11" s="1"/>
  <c r="Q12" i="11"/>
  <c r="R12" i="11" s="1"/>
  <c r="W12" i="11" s="1"/>
  <c r="K13" i="11"/>
  <c r="L13" i="11" s="1"/>
  <c r="I13" i="11"/>
  <c r="J13" i="11" s="1"/>
  <c r="O13" i="11" s="1"/>
  <c r="S13" i="11"/>
  <c r="T13" i="11" s="1"/>
  <c r="Q13" i="11"/>
  <c r="R13" i="11" s="1"/>
  <c r="W13" i="11" s="1"/>
  <c r="K14" i="11"/>
  <c r="L14" i="11" s="1"/>
  <c r="I14" i="11"/>
  <c r="J14" i="11" s="1"/>
  <c r="O14" i="11" s="1"/>
  <c r="S14" i="11"/>
  <c r="T14" i="11" s="1"/>
  <c r="Q14" i="11"/>
  <c r="R14" i="11" s="1"/>
  <c r="W14" i="11" s="1"/>
  <c r="I84" i="5" l="1"/>
  <c r="J84" i="5" s="1"/>
  <c r="J90" i="5" s="1"/>
  <c r="I76" i="5"/>
  <c r="J76" i="5" s="1"/>
  <c r="J79" i="5" s="1"/>
  <c r="I65" i="5"/>
  <c r="E3" i="3"/>
  <c r="D31" i="3"/>
  <c r="F20" i="1"/>
  <c r="F23" i="1"/>
  <c r="F24" i="1" s="1"/>
  <c r="E8" i="3"/>
  <c r="C8" i="3"/>
  <c r="L69" i="5"/>
  <c r="L70" i="5" s="1"/>
  <c r="O63" i="5" s="1"/>
  <c r="J69" i="5"/>
  <c r="J70" i="5" s="1"/>
  <c r="J14" i="1"/>
  <c r="W8" i="1"/>
  <c r="X8" i="1" s="1"/>
  <c r="K8" i="1"/>
  <c r="AG26" i="1" s="1"/>
  <c r="AG27" i="1" s="1"/>
  <c r="T16" i="1"/>
  <c r="T4" i="1"/>
  <c r="U4" i="1" s="1"/>
  <c r="K21" i="1"/>
  <c r="P4" i="1"/>
  <c r="J12" i="1"/>
  <c r="K12" i="1" s="1"/>
  <c r="K10" i="1"/>
  <c r="M14" i="1"/>
  <c r="M8" i="1"/>
  <c r="M6" i="1"/>
  <c r="N6" i="1" s="1"/>
  <c r="N4" i="1"/>
  <c r="B11" i="12"/>
  <c r="C12" i="9"/>
  <c r="C12" i="8"/>
  <c r="Q26" i="10"/>
  <c r="Q9" i="10"/>
  <c r="AC26" i="10"/>
  <c r="AC9" i="10"/>
  <c r="AI26" i="10"/>
  <c r="AI9" i="10"/>
  <c r="K27" i="10"/>
  <c r="F9" i="8"/>
  <c r="R8" i="8"/>
  <c r="P8" i="8"/>
  <c r="N8" i="8"/>
  <c r="L8" i="8"/>
  <c r="G8" i="8"/>
  <c r="O31" i="9"/>
  <c r="F16" i="9"/>
  <c r="G15" i="9"/>
  <c r="F17" i="9" l="1"/>
  <c r="G16" i="9"/>
  <c r="Q27" i="10"/>
  <c r="Q10" i="10"/>
  <c r="W27" i="10"/>
  <c r="W10" i="10"/>
  <c r="AC27" i="10"/>
  <c r="AC10" i="10"/>
  <c r="AI27" i="10"/>
  <c r="AI10" i="10"/>
  <c r="K28" i="10"/>
  <c r="F10" i="8"/>
  <c r="R9" i="8"/>
  <c r="P9" i="8"/>
  <c r="N9" i="8"/>
  <c r="L9" i="8"/>
  <c r="G9" i="8"/>
  <c r="H9" i="8"/>
  <c r="I9" i="8" s="1"/>
  <c r="J9" i="8" s="1"/>
  <c r="H8" i="8"/>
  <c r="I8" i="8" s="1"/>
  <c r="J8" i="8" s="1"/>
  <c r="H7" i="8"/>
  <c r="I7" i="8" s="1"/>
  <c r="J7" i="8" s="1"/>
  <c r="H16" i="9"/>
  <c r="I16" i="9" s="1"/>
  <c r="J16" i="9" s="1"/>
  <c r="H15" i="9"/>
  <c r="I15" i="9" s="1"/>
  <c r="J15" i="9" s="1"/>
  <c r="P31" i="9" s="1"/>
  <c r="H14" i="9"/>
  <c r="I14" i="9" s="1"/>
  <c r="J14" i="9" s="1"/>
  <c r="P29" i="9" s="1"/>
  <c r="P34" i="9" s="1"/>
  <c r="H13" i="9"/>
  <c r="I13" i="9" s="1"/>
  <c r="J13" i="9" s="1"/>
  <c r="H12" i="9"/>
  <c r="I12" i="9" s="1"/>
  <c r="J12" i="9" s="1"/>
  <c r="H11" i="9"/>
  <c r="I11" i="9" s="1"/>
  <c r="J11" i="9" s="1"/>
  <c r="H10" i="9"/>
  <c r="I10" i="9" s="1"/>
  <c r="J10" i="9" s="1"/>
  <c r="H9" i="9"/>
  <c r="I9" i="9" s="1"/>
  <c r="J9" i="9" s="1"/>
  <c r="H8" i="9"/>
  <c r="I8" i="9" s="1"/>
  <c r="J8" i="9" s="1"/>
  <c r="H7" i="9"/>
  <c r="I7" i="9" s="1"/>
  <c r="J7" i="9" s="1"/>
  <c r="G11" i="12"/>
  <c r="G12" i="12" s="1"/>
  <c r="G13" i="12" s="1"/>
  <c r="K3" i="12"/>
  <c r="K2" i="12"/>
  <c r="G2" i="12"/>
  <c r="G4" i="12"/>
  <c r="G8" i="12" s="1"/>
  <c r="M10" i="1"/>
  <c r="N8" i="1"/>
  <c r="N14" i="1"/>
  <c r="M16" i="1"/>
  <c r="N16" i="1" s="1"/>
  <c r="P8" i="1"/>
  <c r="P6" i="1"/>
  <c r="Q6" i="1" s="1"/>
  <c r="W15" i="1"/>
  <c r="Q4" i="1"/>
  <c r="U16" i="1"/>
  <c r="T15" i="1"/>
  <c r="K14" i="1"/>
  <c r="T6" i="1"/>
  <c r="U6" i="1" s="1"/>
  <c r="O62" i="5"/>
  <c r="X60" i="5"/>
  <c r="D35" i="3"/>
  <c r="E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D9" i="3"/>
  <c r="C6" i="3"/>
  <c r="C5" i="3"/>
  <c r="C4" i="3"/>
  <c r="C7" i="3"/>
  <c r="C3" i="3"/>
  <c r="O73" i="5"/>
  <c r="O77" i="5" s="1"/>
  <c r="W61" i="5" s="1"/>
  <c r="Z60" i="5" s="1"/>
  <c r="X61" i="5"/>
  <c r="O81" i="5"/>
  <c r="O85" i="5" s="1"/>
  <c r="W62" i="5" s="1"/>
  <c r="Z61" i="5" s="1"/>
  <c r="X62" i="5"/>
  <c r="E9" i="3" l="1"/>
  <c r="C9" i="3"/>
  <c r="R93" i="5"/>
  <c r="O66" i="5"/>
  <c r="W60" i="5" s="1"/>
  <c r="Z62" i="5" s="1"/>
  <c r="G17" i="7"/>
  <c r="U15" i="1"/>
  <c r="H17" i="7" s="1"/>
  <c r="X15" i="1"/>
  <c r="P14" i="1"/>
  <c r="Q14" i="1" s="1"/>
  <c r="P10" i="1"/>
  <c r="Q8" i="1"/>
  <c r="M12" i="1"/>
  <c r="N12" i="1" s="1"/>
  <c r="N10" i="1"/>
  <c r="K4" i="12"/>
  <c r="K11" i="12"/>
  <c r="K12" i="12" s="1"/>
  <c r="P35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B4" i="11"/>
  <c r="L26" i="10"/>
  <c r="S7" i="8"/>
  <c r="Q7" i="8"/>
  <c r="O7" i="8"/>
  <c r="X26" i="10" s="1"/>
  <c r="M7" i="8"/>
  <c r="B5" i="11"/>
  <c r="L27" i="10"/>
  <c r="S8" i="8"/>
  <c r="Q8" i="8"/>
  <c r="O8" i="8"/>
  <c r="M8" i="8"/>
  <c r="B6" i="11"/>
  <c r="L28" i="10"/>
  <c r="S9" i="8"/>
  <c r="Q9" i="8"/>
  <c r="O9" i="8"/>
  <c r="M9" i="8"/>
  <c r="Q28" i="10"/>
  <c r="Q11" i="10"/>
  <c r="W28" i="10"/>
  <c r="W11" i="10"/>
  <c r="AC28" i="10"/>
  <c r="AC11" i="10"/>
  <c r="AI28" i="10"/>
  <c r="AI11" i="10"/>
  <c r="K29" i="10"/>
  <c r="F11" i="8"/>
  <c r="R10" i="8"/>
  <c r="P10" i="8"/>
  <c r="N10" i="8"/>
  <c r="L10" i="8"/>
  <c r="G10" i="8"/>
  <c r="H10" i="8" s="1"/>
  <c r="I10" i="8" s="1"/>
  <c r="J10" i="8" s="1"/>
  <c r="F18" i="9"/>
  <c r="G17" i="9"/>
  <c r="H17" i="9" s="1"/>
  <c r="I17" i="9" s="1"/>
  <c r="J17" i="9" s="1"/>
  <c r="F19" i="9" l="1"/>
  <c r="G18" i="9"/>
  <c r="H18" i="9" s="1"/>
  <c r="I18" i="9" s="1"/>
  <c r="J18" i="9" s="1"/>
  <c r="B7" i="11"/>
  <c r="L29" i="10"/>
  <c r="S10" i="8"/>
  <c r="Q10" i="8"/>
  <c r="O10" i="8"/>
  <c r="M10" i="8"/>
  <c r="Q29" i="10"/>
  <c r="Q12" i="10"/>
  <c r="W29" i="10"/>
  <c r="W12" i="10"/>
  <c r="AC29" i="10"/>
  <c r="AC12" i="10"/>
  <c r="AI29" i="10"/>
  <c r="AI12" i="10"/>
  <c r="K30" i="10"/>
  <c r="F12" i="8"/>
  <c r="R11" i="8"/>
  <c r="P11" i="8"/>
  <c r="N11" i="8"/>
  <c r="L11" i="8"/>
  <c r="G11" i="8"/>
  <c r="H11" i="8" s="1"/>
  <c r="I11" i="8" s="1"/>
  <c r="J11" i="8" s="1"/>
  <c r="R28" i="10"/>
  <c r="R11" i="10"/>
  <c r="T11" i="10" s="1"/>
  <c r="U11" i="10" s="1"/>
  <c r="X28" i="10"/>
  <c r="X11" i="10"/>
  <c r="Z11" i="10" s="1"/>
  <c r="AA11" i="10" s="1"/>
  <c r="AD28" i="10"/>
  <c r="AD11" i="10"/>
  <c r="AF11" i="10" s="1"/>
  <c r="AG11" i="10" s="1"/>
  <c r="AJ28" i="10"/>
  <c r="AJ11" i="10"/>
  <c r="AL11" i="10" s="1"/>
  <c r="AM11" i="10" s="1"/>
  <c r="F6" i="11"/>
  <c r="D6" i="11"/>
  <c r="AC4" i="11" s="1"/>
  <c r="AD4" i="11" s="1"/>
  <c r="AE4" i="11" s="1"/>
  <c r="R27" i="10"/>
  <c r="R10" i="10"/>
  <c r="T10" i="10" s="1"/>
  <c r="U10" i="10" s="1"/>
  <c r="X27" i="10"/>
  <c r="X10" i="10"/>
  <c r="Z10" i="10" s="1"/>
  <c r="AA10" i="10" s="1"/>
  <c r="AD27" i="10"/>
  <c r="AD10" i="10"/>
  <c r="AF10" i="10" s="1"/>
  <c r="AG10" i="10" s="1"/>
  <c r="AJ27" i="10"/>
  <c r="AJ10" i="10"/>
  <c r="AL10" i="10" s="1"/>
  <c r="AM10" i="10" s="1"/>
  <c r="F5" i="11"/>
  <c r="D5" i="11"/>
  <c r="AC3" i="11" s="1"/>
  <c r="AD3" i="11" s="1"/>
  <c r="AE3" i="11" s="1"/>
  <c r="R26" i="10"/>
  <c r="R9" i="10"/>
  <c r="T9" i="10" s="1"/>
  <c r="U9" i="10" s="1"/>
  <c r="AD26" i="10"/>
  <c r="AD9" i="10"/>
  <c r="AF9" i="10" s="1"/>
  <c r="AG9" i="10" s="1"/>
  <c r="AJ26" i="10"/>
  <c r="AJ9" i="10"/>
  <c r="AL9" i="10" s="1"/>
  <c r="AM9" i="10" s="1"/>
  <c r="F4" i="11"/>
  <c r="D4" i="11"/>
  <c r="AC2" i="11" s="1"/>
  <c r="P37" i="9"/>
  <c r="P36" i="9"/>
  <c r="J6" i="12"/>
  <c r="K5" i="12"/>
  <c r="P12" i="1"/>
  <c r="Q12" i="1" s="1"/>
  <c r="Q10" i="1"/>
  <c r="J8" i="12" l="1"/>
  <c r="K8" i="12" s="1"/>
  <c r="K7" i="12"/>
  <c r="K6" i="12"/>
  <c r="P38" i="9"/>
  <c r="R8" i="9"/>
  <c r="S8" i="9" s="1"/>
  <c r="R9" i="9"/>
  <c r="S9" i="9" s="1"/>
  <c r="R10" i="9"/>
  <c r="S10" i="9" s="1"/>
  <c r="R11" i="9"/>
  <c r="S11" i="9" s="1"/>
  <c r="R12" i="9"/>
  <c r="S12" i="9" s="1"/>
  <c r="R13" i="9"/>
  <c r="S13" i="9" s="1"/>
  <c r="R14" i="9"/>
  <c r="S14" i="9" s="1"/>
  <c r="R15" i="9"/>
  <c r="S15" i="9" s="1"/>
  <c r="R16" i="9"/>
  <c r="S16" i="9" s="1"/>
  <c r="R17" i="9"/>
  <c r="S17" i="9" s="1"/>
  <c r="R18" i="9"/>
  <c r="S18" i="9" s="1"/>
  <c r="R19" i="9"/>
  <c r="S19" i="9" s="1"/>
  <c r="R20" i="9"/>
  <c r="S20" i="9" s="1"/>
  <c r="R21" i="9"/>
  <c r="S21" i="9" s="1"/>
  <c r="R22" i="9"/>
  <c r="S22" i="9" s="1"/>
  <c r="AA22" i="9"/>
  <c r="AB22" i="9" s="1"/>
  <c r="AA44" i="9"/>
  <c r="AB44" i="9" s="1"/>
  <c r="AA65" i="9"/>
  <c r="AB65" i="9" s="1"/>
  <c r="AA86" i="9"/>
  <c r="AB86" i="9" s="1"/>
  <c r="AA21" i="9"/>
  <c r="AB21" i="9" s="1"/>
  <c r="AA43" i="9"/>
  <c r="AB43" i="9" s="1"/>
  <c r="AA64" i="9"/>
  <c r="AB64" i="9" s="1"/>
  <c r="AA85" i="9"/>
  <c r="AB85" i="9" s="1"/>
  <c r="AA20" i="9"/>
  <c r="AB20" i="9" s="1"/>
  <c r="AA42" i="9"/>
  <c r="AB42" i="9" s="1"/>
  <c r="AA63" i="9"/>
  <c r="AB63" i="9" s="1"/>
  <c r="AA84" i="9"/>
  <c r="AB84" i="9" s="1"/>
  <c r="AA19" i="9"/>
  <c r="AB19" i="9" s="1"/>
  <c r="AA41" i="9"/>
  <c r="AB41" i="9" s="1"/>
  <c r="AA62" i="9"/>
  <c r="AB62" i="9" s="1"/>
  <c r="AA83" i="9"/>
  <c r="AB83" i="9" s="1"/>
  <c r="AA18" i="9"/>
  <c r="AB18" i="9" s="1"/>
  <c r="AA40" i="9"/>
  <c r="AB40" i="9" s="1"/>
  <c r="AA61" i="9"/>
  <c r="AB61" i="9" s="1"/>
  <c r="AA82" i="9"/>
  <c r="AB82" i="9" s="1"/>
  <c r="AA17" i="9"/>
  <c r="AB17" i="9" s="1"/>
  <c r="AA39" i="9"/>
  <c r="AB39" i="9" s="1"/>
  <c r="AA60" i="9"/>
  <c r="AB60" i="9" s="1"/>
  <c r="AA81" i="9"/>
  <c r="AB81" i="9" s="1"/>
  <c r="AA16" i="9"/>
  <c r="AB16" i="9" s="1"/>
  <c r="AA38" i="9"/>
  <c r="AB38" i="9" s="1"/>
  <c r="AA59" i="9"/>
  <c r="AB59" i="9" s="1"/>
  <c r="AA80" i="9"/>
  <c r="AB80" i="9" s="1"/>
  <c r="AA15" i="9"/>
  <c r="AB15" i="9" s="1"/>
  <c r="AA37" i="9"/>
  <c r="AB37" i="9" s="1"/>
  <c r="AA58" i="9"/>
  <c r="AB58" i="9" s="1"/>
  <c r="AA79" i="9"/>
  <c r="AB79" i="9" s="1"/>
  <c r="AA14" i="9"/>
  <c r="AB14" i="9" s="1"/>
  <c r="AA36" i="9"/>
  <c r="AB36" i="9" s="1"/>
  <c r="AA57" i="9"/>
  <c r="AB57" i="9" s="1"/>
  <c r="AA78" i="9"/>
  <c r="AB78" i="9" s="1"/>
  <c r="AA13" i="9"/>
  <c r="AB13" i="9" s="1"/>
  <c r="AA35" i="9"/>
  <c r="AB35" i="9" s="1"/>
  <c r="AA56" i="9"/>
  <c r="AB56" i="9" s="1"/>
  <c r="AA77" i="9"/>
  <c r="AB77" i="9" s="1"/>
  <c r="AA12" i="9"/>
  <c r="AB12" i="9" s="1"/>
  <c r="AA34" i="9"/>
  <c r="AB34" i="9" s="1"/>
  <c r="AA55" i="9"/>
  <c r="AB55" i="9" s="1"/>
  <c r="AA76" i="9"/>
  <c r="AB76" i="9" s="1"/>
  <c r="AA11" i="9"/>
  <c r="AB11" i="9" s="1"/>
  <c r="AA33" i="9"/>
  <c r="AB33" i="9" s="1"/>
  <c r="AA54" i="9"/>
  <c r="AB54" i="9" s="1"/>
  <c r="AA75" i="9"/>
  <c r="AB75" i="9" s="1"/>
  <c r="AA10" i="9"/>
  <c r="AB10" i="9" s="1"/>
  <c r="AA32" i="9"/>
  <c r="AB32" i="9" s="1"/>
  <c r="AA53" i="9"/>
  <c r="AB53" i="9" s="1"/>
  <c r="AA74" i="9"/>
  <c r="AB74" i="9" s="1"/>
  <c r="AA9" i="9"/>
  <c r="AB9" i="9" s="1"/>
  <c r="AA31" i="9"/>
  <c r="AB31" i="9" s="1"/>
  <c r="AA52" i="9"/>
  <c r="AB52" i="9" s="1"/>
  <c r="AA73" i="9"/>
  <c r="AB73" i="9" s="1"/>
  <c r="AA8" i="9"/>
  <c r="AB8" i="9" s="1"/>
  <c r="AA30" i="9"/>
  <c r="AB30" i="9" s="1"/>
  <c r="AA51" i="9"/>
  <c r="AB51" i="9" s="1"/>
  <c r="AA72" i="9"/>
  <c r="AB72" i="9" s="1"/>
  <c r="B8" i="11"/>
  <c r="L30" i="10"/>
  <c r="S11" i="8"/>
  <c r="Q11" i="8"/>
  <c r="O11" i="8"/>
  <c r="M11" i="8"/>
  <c r="Q30" i="10"/>
  <c r="Q13" i="10"/>
  <c r="W30" i="10"/>
  <c r="W14" i="10"/>
  <c r="AC30" i="10"/>
  <c r="AC13" i="10"/>
  <c r="AI30" i="10"/>
  <c r="AI13" i="10"/>
  <c r="K31" i="10"/>
  <c r="F13" i="8"/>
  <c r="R12" i="8"/>
  <c r="P12" i="8"/>
  <c r="N12" i="8"/>
  <c r="W31" i="10" s="1"/>
  <c r="L12" i="8"/>
  <c r="G12" i="8"/>
  <c r="H12" i="8" s="1"/>
  <c r="I12" i="8" s="1"/>
  <c r="J12" i="8" s="1"/>
  <c r="R29" i="10"/>
  <c r="R12" i="10"/>
  <c r="T12" i="10" s="1"/>
  <c r="U12" i="10" s="1"/>
  <c r="X29" i="10"/>
  <c r="X12" i="10"/>
  <c r="Z12" i="10" s="1"/>
  <c r="AA12" i="10" s="1"/>
  <c r="AD29" i="10"/>
  <c r="AD12" i="10"/>
  <c r="AF12" i="10" s="1"/>
  <c r="AG12" i="10" s="1"/>
  <c r="AJ29" i="10"/>
  <c r="AJ12" i="10"/>
  <c r="AL12" i="10" s="1"/>
  <c r="AM12" i="10" s="1"/>
  <c r="F7" i="11"/>
  <c r="D7" i="11"/>
  <c r="AC5" i="11" s="1"/>
  <c r="AD5" i="11" s="1"/>
  <c r="AE5" i="11" s="1"/>
  <c r="F20" i="9"/>
  <c r="G19" i="9"/>
  <c r="H19" i="9" s="1"/>
  <c r="I19" i="9" s="1"/>
  <c r="J19" i="9" s="1"/>
  <c r="F21" i="9" l="1"/>
  <c r="G21" i="9" s="1"/>
  <c r="H21" i="9" s="1"/>
  <c r="I21" i="9" s="1"/>
  <c r="J21" i="9" s="1"/>
  <c r="G20" i="9"/>
  <c r="H20" i="9" s="1"/>
  <c r="I20" i="9" s="1"/>
  <c r="J20" i="9" s="1"/>
  <c r="B9" i="11"/>
  <c r="L31" i="10"/>
  <c r="S12" i="8"/>
  <c r="Q12" i="8"/>
  <c r="O12" i="8"/>
  <c r="X31" i="10" s="1"/>
  <c r="M12" i="8"/>
  <c r="Q31" i="10"/>
  <c r="Q14" i="10"/>
  <c r="AC31" i="10"/>
  <c r="AC14" i="10"/>
  <c r="AI31" i="10"/>
  <c r="AI14" i="10"/>
  <c r="K32" i="10"/>
  <c r="F14" i="8"/>
  <c r="R13" i="8"/>
  <c r="P13" i="8"/>
  <c r="N13" i="8"/>
  <c r="W32" i="10" s="1"/>
  <c r="L13" i="8"/>
  <c r="G13" i="8"/>
  <c r="H13" i="8" s="1"/>
  <c r="I13" i="8" s="1"/>
  <c r="J13" i="8" s="1"/>
  <c r="R30" i="10"/>
  <c r="R13" i="10"/>
  <c r="T13" i="10" s="1"/>
  <c r="U13" i="10" s="1"/>
  <c r="X30" i="10"/>
  <c r="X14" i="10"/>
  <c r="AD30" i="10"/>
  <c r="AD13" i="10"/>
  <c r="AF13" i="10" s="1"/>
  <c r="AG13" i="10" s="1"/>
  <c r="AJ30" i="10"/>
  <c r="AJ13" i="10"/>
  <c r="AL13" i="10" s="1"/>
  <c r="AM13" i="10" s="1"/>
  <c r="F8" i="11"/>
  <c r="D8" i="11"/>
  <c r="Z14" i="10" l="1"/>
  <c r="AA14" i="10" s="1"/>
  <c r="X13" i="10"/>
  <c r="B10" i="11"/>
  <c r="L32" i="10"/>
  <c r="S13" i="8"/>
  <c r="Q13" i="8"/>
  <c r="O13" i="8"/>
  <c r="X32" i="10" s="1"/>
  <c r="M13" i="8"/>
  <c r="Q32" i="10"/>
  <c r="Q15" i="10"/>
  <c r="AC32" i="10"/>
  <c r="AC15" i="10"/>
  <c r="AI32" i="10"/>
  <c r="AI15" i="10"/>
  <c r="K33" i="10"/>
  <c r="F15" i="8"/>
  <c r="R14" i="8"/>
  <c r="P14" i="8"/>
  <c r="N14" i="8"/>
  <c r="W33" i="10" s="1"/>
  <c r="L14" i="8"/>
  <c r="Q33" i="10" s="1"/>
  <c r="G14" i="8"/>
  <c r="H14" i="8" s="1"/>
  <c r="I14" i="8" s="1"/>
  <c r="J14" i="8" s="1"/>
  <c r="R31" i="10"/>
  <c r="R14" i="10"/>
  <c r="T14" i="10" s="1"/>
  <c r="U14" i="10" s="1"/>
  <c r="AD31" i="10"/>
  <c r="AD14" i="10"/>
  <c r="AF14" i="10" s="1"/>
  <c r="AG14" i="10" s="1"/>
  <c r="AJ31" i="10"/>
  <c r="AJ14" i="10"/>
  <c r="AL14" i="10" s="1"/>
  <c r="AM14" i="10" s="1"/>
  <c r="F9" i="11"/>
  <c r="D9" i="11"/>
  <c r="B11" i="11" l="1"/>
  <c r="L33" i="10"/>
  <c r="S14" i="8"/>
  <c r="Q14" i="8"/>
  <c r="O14" i="8"/>
  <c r="X33" i="10" s="1"/>
  <c r="M14" i="8"/>
  <c r="R33" i="10" s="1"/>
  <c r="AC33" i="10"/>
  <c r="AC16" i="10"/>
  <c r="AI33" i="10"/>
  <c r="AI16" i="10"/>
  <c r="K34" i="10"/>
  <c r="F16" i="8"/>
  <c r="R15" i="8"/>
  <c r="P15" i="8"/>
  <c r="N15" i="8"/>
  <c r="W34" i="10" s="1"/>
  <c r="L15" i="8"/>
  <c r="Q34" i="10" s="1"/>
  <c r="G15" i="8"/>
  <c r="H15" i="8" s="1"/>
  <c r="I15" i="8" s="1"/>
  <c r="J15" i="8" s="1"/>
  <c r="R32" i="10"/>
  <c r="R15" i="10"/>
  <c r="AD32" i="10"/>
  <c r="AD15" i="10"/>
  <c r="AF15" i="10" s="1"/>
  <c r="AG15" i="10" s="1"/>
  <c r="AJ32" i="10"/>
  <c r="AJ15" i="10"/>
  <c r="AL15" i="10" s="1"/>
  <c r="AM15" i="10" s="1"/>
  <c r="F10" i="11"/>
  <c r="D10" i="11"/>
  <c r="B12" i="11" l="1"/>
  <c r="L34" i="10"/>
  <c r="S15" i="8"/>
  <c r="Q15" i="8"/>
  <c r="O15" i="8"/>
  <c r="X34" i="10" s="1"/>
  <c r="M15" i="8"/>
  <c r="R34" i="10" s="1"/>
  <c r="AC34" i="10"/>
  <c r="AC18" i="10"/>
  <c r="AI34" i="10"/>
  <c r="AI18" i="10"/>
  <c r="K35" i="10"/>
  <c r="F17" i="8"/>
  <c r="R16" i="8"/>
  <c r="AI35" i="10" s="1"/>
  <c r="P16" i="8"/>
  <c r="AC35" i="10" s="1"/>
  <c r="N16" i="8"/>
  <c r="W35" i="10" s="1"/>
  <c r="L16" i="8"/>
  <c r="Q35" i="10" s="1"/>
  <c r="G16" i="8"/>
  <c r="H16" i="8" s="1"/>
  <c r="I16" i="8" s="1"/>
  <c r="J16" i="8" s="1"/>
  <c r="AD33" i="10"/>
  <c r="AD16" i="10"/>
  <c r="AF16" i="10" s="1"/>
  <c r="AG16" i="10" s="1"/>
  <c r="AJ33" i="10"/>
  <c r="AJ16" i="10"/>
  <c r="AL16" i="10" s="1"/>
  <c r="AM16" i="10" s="1"/>
  <c r="F11" i="11"/>
  <c r="D11" i="11"/>
  <c r="B13" i="11" l="1"/>
  <c r="L35" i="10"/>
  <c r="S16" i="8"/>
  <c r="AJ35" i="10" s="1"/>
  <c r="Q16" i="8"/>
  <c r="AD35" i="10" s="1"/>
  <c r="O16" i="8"/>
  <c r="X35" i="10" s="1"/>
  <c r="M16" i="8"/>
  <c r="R35" i="10" s="1"/>
  <c r="K36" i="10"/>
  <c r="F18" i="8"/>
  <c r="R17" i="8"/>
  <c r="AI36" i="10" s="1"/>
  <c r="P17" i="8"/>
  <c r="AC36" i="10" s="1"/>
  <c r="N17" i="8"/>
  <c r="W36" i="10" s="1"/>
  <c r="L17" i="8"/>
  <c r="Q36" i="10" s="1"/>
  <c r="G17" i="8"/>
  <c r="H17" i="8" s="1"/>
  <c r="I17" i="8" s="1"/>
  <c r="J17" i="8" s="1"/>
  <c r="AD34" i="10"/>
  <c r="AD18" i="10"/>
  <c r="AJ34" i="10"/>
  <c r="AJ18" i="10"/>
  <c r="F12" i="11"/>
  <c r="D12" i="11"/>
  <c r="B14" i="11" l="1"/>
  <c r="L36" i="10"/>
  <c r="S17" i="8"/>
  <c r="AJ36" i="10" s="1"/>
  <c r="Q17" i="8"/>
  <c r="AD36" i="10" s="1"/>
  <c r="O17" i="8"/>
  <c r="X36" i="10" s="1"/>
  <c r="M17" i="8"/>
  <c r="R36" i="10" s="1"/>
  <c r="K37" i="10"/>
  <c r="F19" i="8"/>
  <c r="R18" i="8"/>
  <c r="AI37" i="10" s="1"/>
  <c r="P18" i="8"/>
  <c r="AC37" i="10" s="1"/>
  <c r="N18" i="8"/>
  <c r="W37" i="10" s="1"/>
  <c r="L18" i="8"/>
  <c r="Q37" i="10" s="1"/>
  <c r="G18" i="8"/>
  <c r="H18" i="8" s="1"/>
  <c r="I18" i="8" s="1"/>
  <c r="J18" i="8" s="1"/>
  <c r="F13" i="11"/>
  <c r="D13" i="11"/>
  <c r="L37" i="10" l="1"/>
  <c r="S18" i="8"/>
  <c r="AJ37" i="10" s="1"/>
  <c r="Q18" i="8"/>
  <c r="AD37" i="10" s="1"/>
  <c r="O18" i="8"/>
  <c r="X37" i="10" s="1"/>
  <c r="M18" i="8"/>
  <c r="R37" i="10" s="1"/>
  <c r="K38" i="10"/>
  <c r="F20" i="8"/>
  <c r="R19" i="8"/>
  <c r="AI38" i="10" s="1"/>
  <c r="P19" i="8"/>
  <c r="AC38" i="10" s="1"/>
  <c r="N19" i="8"/>
  <c r="W38" i="10" s="1"/>
  <c r="L19" i="8"/>
  <c r="Q38" i="10" s="1"/>
  <c r="G19" i="8"/>
  <c r="H19" i="8" s="1"/>
  <c r="I19" i="8" s="1"/>
  <c r="J19" i="8" s="1"/>
  <c r="F14" i="11"/>
  <c r="D14" i="11"/>
  <c r="L38" i="10" l="1"/>
  <c r="S19" i="8"/>
  <c r="AJ38" i="10" s="1"/>
  <c r="Q19" i="8"/>
  <c r="AD38" i="10" s="1"/>
  <c r="O19" i="8"/>
  <c r="X38" i="10" s="1"/>
  <c r="M19" i="8"/>
  <c r="R38" i="10" s="1"/>
  <c r="K39" i="10"/>
  <c r="F21" i="8"/>
  <c r="R20" i="8"/>
  <c r="AI39" i="10" s="1"/>
  <c r="P20" i="8"/>
  <c r="AC39" i="10" s="1"/>
  <c r="N20" i="8"/>
  <c r="W39" i="10" s="1"/>
  <c r="L20" i="8"/>
  <c r="Q39" i="10" s="1"/>
  <c r="G20" i="8"/>
  <c r="H20" i="8" s="1"/>
  <c r="I20" i="8" s="1"/>
  <c r="J20" i="8" s="1"/>
  <c r="L39" i="10" l="1"/>
  <c r="S20" i="8"/>
  <c r="AJ39" i="10" s="1"/>
  <c r="Q20" i="8"/>
  <c r="AD39" i="10" s="1"/>
  <c r="O20" i="8"/>
  <c r="X39" i="10" s="1"/>
  <c r="M20" i="8"/>
  <c r="R39" i="10" s="1"/>
  <c r="K40" i="10"/>
  <c r="R21" i="8"/>
  <c r="AI40" i="10" s="1"/>
  <c r="P21" i="8"/>
  <c r="AC40" i="10" s="1"/>
  <c r="N21" i="8"/>
  <c r="W40" i="10" s="1"/>
  <c r="L21" i="8"/>
  <c r="Q40" i="10" s="1"/>
  <c r="G21" i="8"/>
  <c r="H21" i="8" s="1"/>
  <c r="I21" i="8" s="1"/>
  <c r="J21" i="8" s="1"/>
  <c r="L40" i="10" l="1"/>
  <c r="S21" i="8"/>
  <c r="AJ40" i="10" s="1"/>
  <c r="Q21" i="8"/>
  <c r="AD40" i="10" s="1"/>
  <c r="O21" i="8"/>
  <c r="X40" i="10" s="1"/>
  <c r="M21" i="8"/>
  <c r="R40" i="10" s="1"/>
</calcChain>
</file>

<file path=xl/sharedStrings.xml><?xml version="1.0" encoding="utf-8"?>
<sst xmlns="http://schemas.openxmlformats.org/spreadsheetml/2006/main" count="1434" uniqueCount="589">
  <si>
    <t>CONSOLIDATED AIRCRAFT DESIGN WORKBOOK</t>
  </si>
  <si>
    <t>MK-10</t>
  </si>
  <si>
    <t>Designer:</t>
  </si>
  <si>
    <t>Yamanaka, Mark Lorenz B.</t>
  </si>
  <si>
    <t>Aircraft Design Part 1</t>
  </si>
  <si>
    <t>ACT 3</t>
  </si>
  <si>
    <t>Wing Design &amp; Sizing</t>
  </si>
  <si>
    <t>ACT 4</t>
  </si>
  <si>
    <t>Airfoil Coordinate &amp; Profile Plotting</t>
  </si>
  <si>
    <t>ACT 5</t>
  </si>
  <si>
    <t>Weight Breakdown &amp; Distribution</t>
  </si>
  <si>
    <t>ACT 6</t>
  </si>
  <si>
    <t>Center of Gravity Calculation</t>
  </si>
  <si>
    <t>ACT 7</t>
  </si>
  <si>
    <t>Drag Polar &amp; Power Curves</t>
  </si>
  <si>
    <t>ACT 8</t>
  </si>
  <si>
    <t>Stall &amp; High-Lift Analysis</t>
  </si>
  <si>
    <t>ACT 9</t>
  </si>
  <si>
    <t>Propulsion Performance</t>
  </si>
  <si>
    <t>ACT 10</t>
  </si>
  <si>
    <t>Performance at Altitude (TREQ/THPREQD)</t>
  </si>
  <si>
    <t>ACT 11</t>
  </si>
  <si>
    <t>Rate of Climb &amp; Climb Performance</t>
  </si>
  <si>
    <t>ACT 12</t>
  </si>
  <si>
    <t>Maximum Speed &amp; Power Available</t>
  </si>
  <si>
    <t>ACT 13</t>
  </si>
  <si>
    <t>Service &amp; Absolute Ceiling</t>
  </si>
  <si>
    <t>ACT 14</t>
  </si>
  <si>
    <t>Range &amp; Endurance</t>
  </si>
  <si>
    <t>Aircraft Design Part 2</t>
  </si>
  <si>
    <t>ACT 15</t>
  </si>
  <si>
    <t>Corrected Airfoil Characteristics</t>
  </si>
  <si>
    <t>ACT 16</t>
  </si>
  <si>
    <t>V-n Diagram (Flight Envelope)</t>
  </si>
  <si>
    <t>ACT 16 v2</t>
  </si>
  <si>
    <t>V-n Diagram — Reference Version</t>
  </si>
  <si>
    <t>ACT 17</t>
  </si>
  <si>
    <t>Gust Load Factors</t>
  </si>
  <si>
    <t>ACT 18</t>
  </si>
  <si>
    <t>Balancing &amp; Maneuvering Loads</t>
  </si>
  <si>
    <t>ACT 19</t>
  </si>
  <si>
    <t>Wing Airload Distribution</t>
  </si>
  <si>
    <t>ACT 20</t>
  </si>
  <si>
    <t>Spar Design &amp; Structural Analysis</t>
  </si>
  <si>
    <t>ACT 21</t>
  </si>
  <si>
    <t>Landing Gear Loads</t>
  </si>
  <si>
    <t>Weight</t>
  </si>
  <si>
    <t>Gross Weight</t>
  </si>
  <si>
    <t xml:space="preserve">Wings </t>
  </si>
  <si>
    <t>Horizontal Tail</t>
  </si>
  <si>
    <t>Vertical Tail</t>
  </si>
  <si>
    <t xml:space="preserve">Wheels </t>
  </si>
  <si>
    <t>Aileron</t>
  </si>
  <si>
    <t>Wp</t>
  </si>
  <si>
    <t>MTOW</t>
  </si>
  <si>
    <t>lbs</t>
  </si>
  <si>
    <t>feet</t>
  </si>
  <si>
    <t>metres</t>
  </si>
  <si>
    <t>Weng</t>
  </si>
  <si>
    <t>kg</t>
  </si>
  <si>
    <t xml:space="preserve">Wing Area (S) </t>
  </si>
  <si>
    <t>Wing Track</t>
  </si>
  <si>
    <t>Aileron Gross Area</t>
  </si>
  <si>
    <t>Wvar/Wto</t>
  </si>
  <si>
    <t xml:space="preserve">S </t>
  </si>
  <si>
    <t>Sh</t>
  </si>
  <si>
    <t>Sv</t>
  </si>
  <si>
    <t>Wheel Track</t>
  </si>
  <si>
    <t>Aileron Area</t>
  </si>
  <si>
    <t>Wf/Wto</t>
  </si>
  <si>
    <t xml:space="preserve">Wing Aerodynamic Chord </t>
  </si>
  <si>
    <t>Tail Span</t>
  </si>
  <si>
    <t>Aileron Width</t>
  </si>
  <si>
    <t>Fuel Fraction (Wf/Wto)</t>
  </si>
  <si>
    <t>c</t>
  </si>
  <si>
    <t xml:space="preserve">bH </t>
  </si>
  <si>
    <t>bT</t>
  </si>
  <si>
    <t>Wheel Base</t>
  </si>
  <si>
    <t>Width</t>
  </si>
  <si>
    <t>Wing Span</t>
  </si>
  <si>
    <t>Wing Aerodnamic Chord</t>
  </si>
  <si>
    <t>Aileron Length</t>
  </si>
  <si>
    <t>Constant</t>
  </si>
  <si>
    <t>b</t>
  </si>
  <si>
    <t>cH</t>
  </si>
  <si>
    <t xml:space="preserve">cV </t>
  </si>
  <si>
    <t>Length</t>
  </si>
  <si>
    <t>K</t>
  </si>
  <si>
    <t>Wing Root Chord Cr</t>
  </si>
  <si>
    <t>Root Chord</t>
  </si>
  <si>
    <t>R</t>
  </si>
  <si>
    <t>Fuel Weight (Wf)</t>
  </si>
  <si>
    <t>Cr</t>
  </si>
  <si>
    <t>Crh</t>
  </si>
  <si>
    <t>Crv</t>
  </si>
  <si>
    <t>rUC</t>
  </si>
  <si>
    <t>Wf</t>
  </si>
  <si>
    <t xml:space="preserve">Wing Tip Chord </t>
  </si>
  <si>
    <t>Tip Chord</t>
  </si>
  <si>
    <t>A</t>
  </si>
  <si>
    <t>Ct</t>
  </si>
  <si>
    <t>Cth</t>
  </si>
  <si>
    <t>Ctv</t>
  </si>
  <si>
    <t>Flaps</t>
  </si>
  <si>
    <t xml:space="preserve">Rudder </t>
  </si>
  <si>
    <t xml:space="preserve">Ah </t>
  </si>
  <si>
    <t>Overall Length</t>
  </si>
  <si>
    <t>Elevator Area</t>
  </si>
  <si>
    <t>Vertical Stabiliser Area</t>
  </si>
  <si>
    <t>Av</t>
  </si>
  <si>
    <t>Oil Weight (Wo)</t>
  </si>
  <si>
    <t>L</t>
  </si>
  <si>
    <t>VertSta Area</t>
  </si>
  <si>
    <t>Flaps Area</t>
  </si>
  <si>
    <t>Rudder Area</t>
  </si>
  <si>
    <t xml:space="preserve">Cl max </t>
  </si>
  <si>
    <t>Wo</t>
  </si>
  <si>
    <t>Horizontal Stabiliser Area</t>
  </si>
  <si>
    <t>Propeller Diametre</t>
  </si>
  <si>
    <t>Area</t>
  </si>
  <si>
    <t>Taper Ratio</t>
  </si>
  <si>
    <t>HoriStab Area</t>
  </si>
  <si>
    <t>PropD</t>
  </si>
  <si>
    <t>Flaps length</t>
  </si>
  <si>
    <t>Vh</t>
  </si>
  <si>
    <t>Useful Load (Wu)</t>
  </si>
  <si>
    <t>Power</t>
  </si>
  <si>
    <t>Wu</t>
  </si>
  <si>
    <t xml:space="preserve">Power Loading </t>
  </si>
  <si>
    <t>note: range is from 12~14</t>
  </si>
  <si>
    <t>HP</t>
  </si>
  <si>
    <t>Wing Loading (W/S)</t>
  </si>
  <si>
    <t>Velocity</t>
  </si>
  <si>
    <t>fps</t>
  </si>
  <si>
    <t>Span Loading</t>
  </si>
  <si>
    <t>mph</t>
  </si>
  <si>
    <t>Empty Weight (EW)</t>
  </si>
  <si>
    <t>Standard Engine Dry Weight</t>
  </si>
  <si>
    <t>note: range is from 15~20</t>
  </si>
  <si>
    <t>RPM</t>
  </si>
  <si>
    <t xml:space="preserve">EW </t>
  </si>
  <si>
    <t>Payload</t>
  </si>
  <si>
    <t>Assumed Values</t>
  </si>
  <si>
    <t>L/b</t>
  </si>
  <si>
    <t>Lh</t>
  </si>
  <si>
    <t>A(Vertical Tail)</t>
  </si>
  <si>
    <t>A(Horiz Tail)</t>
  </si>
  <si>
    <t>Taper Ratio (Vert)</t>
  </si>
  <si>
    <t>Taper Ratio (Horiz)</t>
  </si>
  <si>
    <t>Clmax</t>
  </si>
  <si>
    <t>0.45 or 0.50</t>
  </si>
  <si>
    <t>k</t>
  </si>
  <si>
    <t>nmi/km</t>
  </si>
  <si>
    <t>RANGE</t>
  </si>
  <si>
    <t>RUC</t>
  </si>
  <si>
    <t>fixed gear, no streamlined fairings</t>
  </si>
  <si>
    <t>Vs</t>
  </si>
  <si>
    <t>Ar</t>
  </si>
  <si>
    <t>6.10-7.5</t>
  </si>
  <si>
    <t>ρ</t>
  </si>
  <si>
    <t>slug/ft^3</t>
  </si>
  <si>
    <t>λ</t>
  </si>
  <si>
    <t>0.4-0.5</t>
  </si>
  <si>
    <t>(0.695-0.75)B</t>
  </si>
  <si>
    <t>𝑙ℎ</t>
  </si>
  <si>
    <t>(2.5-3.0) MAC</t>
  </si>
  <si>
    <t>Aℎ</t>
  </si>
  <si>
    <t>3.0-5.0</t>
  </si>
  <si>
    <t>λℎ</t>
  </si>
  <si>
    <t>0.3-0.6</t>
  </si>
  <si>
    <t>𝑙𝑣</t>
  </si>
  <si>
    <t>A𝑣</t>
  </si>
  <si>
    <t>1.3-3.0</t>
  </si>
  <si>
    <t>λ𝑣</t>
  </si>
  <si>
    <t>25-30% of wingspan</t>
  </si>
  <si>
    <t>Fuselage width</t>
  </si>
  <si>
    <t>Vmax</t>
  </si>
  <si>
    <t>BHP</t>
  </si>
  <si>
    <t>NACA</t>
  </si>
  <si>
    <t>NACA 2415: Midterm</t>
  </si>
  <si>
    <t>Root Chord (scaled)</t>
  </si>
  <si>
    <t>1.) Upper Camber</t>
  </si>
  <si>
    <t>2.) Lower Camber</t>
  </si>
  <si>
    <t>3. X-coordinate</t>
  </si>
  <si>
    <t>4. Mean Chord</t>
  </si>
  <si>
    <t xml:space="preserve">Upper Surface </t>
  </si>
  <si>
    <t>Lower Surface</t>
  </si>
  <si>
    <t>Results</t>
  </si>
  <si>
    <t>Station</t>
  </si>
  <si>
    <t>Ordinate</t>
  </si>
  <si>
    <t>….</t>
  </si>
  <si>
    <t>1.) Upper</t>
  </si>
  <si>
    <t>Z(150)/100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</si>
  <si>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</si>
  <si>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</si>
  <si>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</si>
  <si>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</si>
  <si>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</si>
  <si>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</si>
  <si>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</si>
  <si>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</si>
  <si>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</si>
  <si>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</si>
  <si>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 xml:space="preserve">2.) Lower </t>
  </si>
  <si>
    <t>3.)</t>
  </si>
  <si>
    <t>x(150)/100</t>
  </si>
  <si>
    <t xml:space="preserve">4.) 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</si>
  <si>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</si>
  <si>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</si>
  <si>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</si>
  <si>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</si>
  <si>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</si>
  <si>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</si>
  <si>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</si>
  <si>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</si>
  <si>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</si>
  <si>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⑳</t>
  </si>
  <si>
    <t>[(1) + (2)]/2</t>
  </si>
  <si>
    <t>L.E. radius: 2.48</t>
  </si>
  <si>
    <t>Tip Chord (scaled)</t>
  </si>
  <si>
    <t>Slope of radius through L.E.: 0.10</t>
  </si>
  <si>
    <t>-</t>
  </si>
  <si>
    <t>MAC =</t>
  </si>
  <si>
    <t>Cr =</t>
  </si>
  <si>
    <t>Ct =</t>
  </si>
  <si>
    <t>← corrected: Ct = Cr × λ = 148 × 0.50 = 74  (was 84, gave λ=0.568 inconsistent with ACT 3)</t>
  </si>
  <si>
    <t>Mean Aerodynamic Chord</t>
  </si>
  <si>
    <t>Mean Aerodynamic Chord (scaled)</t>
  </si>
  <si>
    <t>Items</t>
  </si>
  <si>
    <t>Weight Range</t>
  </si>
  <si>
    <t>Detailed Weight</t>
  </si>
  <si>
    <t>change to wat u like</t>
  </si>
  <si>
    <t>%</t>
  </si>
  <si>
    <t>(lb)</t>
  </si>
  <si>
    <t>(kg)</t>
  </si>
  <si>
    <t>dont touch</t>
  </si>
  <si>
    <t>I.                  Payload</t>
  </si>
  <si>
    <t>30 - 35</t>
  </si>
  <si>
    <t>[Note: "Payload" here includes fuel &amp; oil per Loftin method convention. In standard practice, payload = crew + baggage only; fuel/oil are separate variable weight items.]</t>
  </si>
  <si>
    <t>1.      Pilot</t>
  </si>
  <si>
    <t>2.      Passenger(s)</t>
  </si>
  <si>
    <t>3.      Baggage</t>
  </si>
  <si>
    <t>Fuel</t>
  </si>
  <si>
    <t>4.      Fuel</t>
  </si>
  <si>
    <t>← linked to ACT 3 Loftin fuel (was 134.37 lb; ACT 3 Wf = 158.6 lb)</t>
  </si>
  <si>
    <t>Oil</t>
  </si>
  <si>
    <t>5.      Oil</t>
  </si>
  <si>
    <t>← linked to ACT 3 oil weight formula</t>
  </si>
  <si>
    <t>Wing</t>
  </si>
  <si>
    <t>II.                Empty Weight</t>
  </si>
  <si>
    <t>65 - 70</t>
  </si>
  <si>
    <t>Fuselage inluding canopy</t>
  </si>
  <si>
    <t>A.     Airframe</t>
  </si>
  <si>
    <t>Horizontal Tail, including Elevators</t>
  </si>
  <si>
    <t>6.      Wing</t>
  </si>
  <si>
    <t>12 to 15</t>
  </si>
  <si>
    <t>Vertical Tail, including Rudder</t>
  </si>
  <si>
    <t>7.      Fuselage, including canopy</t>
  </si>
  <si>
    <t>9 to 12</t>
  </si>
  <si>
    <t>Cowling</t>
  </si>
  <si>
    <t>8.      Horizontal tail including elevator(s)</t>
  </si>
  <si>
    <t>1.5-2</t>
  </si>
  <si>
    <t>Flaps and Ailerons</t>
  </si>
  <si>
    <t>9.      Vertical tail including rudder</t>
  </si>
  <si>
    <t>Trim Tabs</t>
  </si>
  <si>
    <t>10.   Cowling</t>
  </si>
  <si>
    <t>Landing Gears</t>
  </si>
  <si>
    <t>11.   Flaps and Ailerons</t>
  </si>
  <si>
    <t>Fuel Tank(s) and System</t>
  </si>
  <si>
    <t>12.   Trim Tabs</t>
  </si>
  <si>
    <t>0.5-1</t>
  </si>
  <si>
    <t>Flaps and Ailerons Control</t>
  </si>
  <si>
    <t>B.     Aircraft Systems</t>
  </si>
  <si>
    <t>15-17</t>
  </si>
  <si>
    <t>Instruments and Radio</t>
  </si>
  <si>
    <t>13.   Landing gears</t>
  </si>
  <si>
    <t>5 to 6</t>
  </si>
  <si>
    <t>Battery Lights and Electrical System</t>
  </si>
  <si>
    <t>14.   Fuel tank(s) and system</t>
  </si>
  <si>
    <t>2.5-3</t>
  </si>
  <si>
    <t>Seats and Harnesses</t>
  </si>
  <si>
    <t>15.   Flaps and ailerons control</t>
  </si>
  <si>
    <t>1-1.5</t>
  </si>
  <si>
    <t>16.   Instruments and radio</t>
  </si>
  <si>
    <t>2-2.5</t>
  </si>
  <si>
    <t>Propeller and Spinner</t>
  </si>
  <si>
    <t>I.	BendixKing KY 196 VHF Radio)</t>
  </si>
  <si>
    <t>II.	Garmin GNS 430W GPS/NAV/COM</t>
  </si>
  <si>
    <t>III.	Garmin G5 Attitude Indicator</t>
  </si>
  <si>
    <t>17.   Battery lights and electrical system</t>
  </si>
  <si>
    <t>18.   Seats and harnesses</t>
  </si>
  <si>
    <t>C.      Propulsion group</t>
  </si>
  <si>
    <t>20-25</t>
  </si>
  <si>
    <t>19.   Standard engine dry weight</t>
  </si>
  <si>
    <t>15-20</t>
  </si>
  <si>
    <t>20.   Propeller and spinner</t>
  </si>
  <si>
    <t>3 to 5</t>
  </si>
  <si>
    <t>III.               Gross Weight</t>
  </si>
  <si>
    <t>PROP AND SPINNER GROUP</t>
  </si>
  <si>
    <t>PORTION</t>
  </si>
  <si>
    <t>X</t>
  </si>
  <si>
    <t>Y</t>
  </si>
  <si>
    <t>AX</t>
  </si>
  <si>
    <t>AY</t>
  </si>
  <si>
    <t>m^2</t>
  </si>
  <si>
    <t>m</t>
  </si>
  <si>
    <t>m^3</t>
  </si>
  <si>
    <t>X'</t>
  </si>
  <si>
    <t>PROPELLER</t>
  </si>
  <si>
    <t>Y'</t>
  </si>
  <si>
    <t>SPINNER</t>
  </si>
  <si>
    <t>ENGINE GROUP</t>
  </si>
  <si>
    <t>ENGINE</t>
  </si>
  <si>
    <t>COWLING</t>
  </si>
  <si>
    <t>FUSELAGE GROUP</t>
  </si>
  <si>
    <t>FUSELAGE</t>
  </si>
  <si>
    <t>CANOPY</t>
  </si>
  <si>
    <t>INSTRU</t>
  </si>
  <si>
    <t>BATTS</t>
  </si>
  <si>
    <t>SEATS</t>
  </si>
  <si>
    <t>PILOT</t>
  </si>
  <si>
    <t>BAGGAGE</t>
  </si>
  <si>
    <t>WING GROUP</t>
  </si>
  <si>
    <t>Propeller and Spinner Group</t>
  </si>
  <si>
    <t>WING</t>
  </si>
  <si>
    <t>← total area corrected: SUM(E7:E8)=0.069 (was hardcoded 0.0661)</t>
  </si>
  <si>
    <t>FLAP-AILERONS</t>
  </si>
  <si>
    <t>← X′ corrected: prop/spinner centroid ~0.21 m forward (was engine value 0.87 m)</t>
  </si>
  <si>
    <t>TRIMS</t>
  </si>
  <si>
    <t>← Y′ corrected: ~1.10 m (was engine value 0.93 m)</t>
  </si>
  <si>
    <t>Engine Group</t>
  </si>
  <si>
    <t>Fuselage Group</t>
  </si>
  <si>
    <t>HORIZONTAL STABILIZER</t>
  </si>
  <si>
    <t>Wing Group</t>
  </si>
  <si>
    <t>Horizontal Stabilizer</t>
  </si>
  <si>
    <t>ELEVATOR</t>
  </si>
  <si>
    <t>Horizontal Tail Group</t>
  </si>
  <si>
    <t>Vertical Tail Group</t>
  </si>
  <si>
    <t>Vertical Stabilizer</t>
  </si>
  <si>
    <t>Landing Gear Group</t>
  </si>
  <si>
    <t>Rudder</t>
  </si>
  <si>
    <t>Nose Landing Gear</t>
  </si>
  <si>
    <t>Main Landing Gear</t>
  </si>
  <si>
    <t>Fuselage including Canopy</t>
  </si>
  <si>
    <t xml:space="preserve">FUSELAGE </t>
  </si>
  <si>
    <t>∑</t>
  </si>
  <si>
    <t>Vertical Tail including Rudder</t>
  </si>
  <si>
    <t>VERTICAL STABILIZER</t>
  </si>
  <si>
    <t>RUDDER</t>
  </si>
  <si>
    <t>Horizontal Tail including Elevator</t>
  </si>
  <si>
    <t>Basic Airplane</t>
  </si>
  <si>
    <t>W, Weight</t>
  </si>
  <si>
    <t>X, Horizontal Arm</t>
  </si>
  <si>
    <t>HORIZONTAL TAIL STABILIZER</t>
  </si>
  <si>
    <t>Y, Vertical Arm</t>
  </si>
  <si>
    <t>Pilot</t>
  </si>
  <si>
    <t>Pasenger</t>
  </si>
  <si>
    <t>Baggage (for Max aft)</t>
  </si>
  <si>
    <t>Trim Tabs (Wings)</t>
  </si>
  <si>
    <t>Trim Tabs (Horizontal Tail)</t>
  </si>
  <si>
    <t>Baggage (for GW CG)</t>
  </si>
  <si>
    <t>Trim Tabs (Vertical Tail)</t>
  </si>
  <si>
    <t>Fuel(Full)</t>
  </si>
  <si>
    <t>TABLE I. BASIC AIRPLANE C,G, POSITION</t>
  </si>
  <si>
    <t>Oil (Full)</t>
  </si>
  <si>
    <t>W</t>
  </si>
  <si>
    <t>WX</t>
  </si>
  <si>
    <t>WY</t>
  </si>
  <si>
    <t>kg-m</t>
  </si>
  <si>
    <t xml:space="preserve">Wing </t>
  </si>
  <si>
    <t>Fuel in Rear of Tanks</t>
  </si>
  <si>
    <t>Fuselage, including Canopy</t>
  </si>
  <si>
    <t>TABLE I. BASIC AIRPLANE C.G. POSITION</t>
  </si>
  <si>
    <t>Flaps and Ailerons includiong Controls</t>
  </si>
  <si>
    <t xml:space="preserve">Trim Tabs </t>
  </si>
  <si>
    <t xml:space="preserve">Landing Gear </t>
  </si>
  <si>
    <t>Fuel Tanks and System</t>
  </si>
  <si>
    <t>Battery, Lights, and Electrical Syste</t>
  </si>
  <si>
    <t xml:space="preserve">Seats and Harnesses </t>
  </si>
  <si>
    <t xml:space="preserve">Engine </t>
  </si>
  <si>
    <t>← linked to ACT 5 E29 (was hardcoded 130 kg; correct: 129.86 kg)</t>
  </si>
  <si>
    <t>d(%)</t>
  </si>
  <si>
    <t>ΣWX(kgf-m)</t>
  </si>
  <si>
    <t>Table 2</t>
  </si>
  <si>
    <t>Table 3</t>
  </si>
  <si>
    <t>Table 4</t>
  </si>
  <si>
    <t xml:space="preserve">	TABLE II. MAXIMUM AFT C.G. POSITION</t>
  </si>
  <si>
    <t>d</t>
  </si>
  <si>
    <t>Passenger</t>
  </si>
  <si>
    <t>Baggage</t>
  </si>
  <si>
    <t>TABLE III. MAXIMUM FORWARD C.G. POSITION</t>
  </si>
  <si>
    <t>Xo</t>
  </si>
  <si>
    <t>(Horizontal distance from the datum line (spinner vertex) to the leading edge of the wing (MAC).</t>
  </si>
  <si>
    <t xml:space="preserve">	TABLE IV. GROSS WEIGHT C.G. POSITION</t>
  </si>
  <si>
    <t>14.12 cm</t>
  </si>
  <si>
    <t>MAC</t>
  </si>
  <si>
    <t>X0</t>
  </si>
  <si>
    <t>α(@Cl  max)</t>
  </si>
  <si>
    <t>deg.</t>
  </si>
  <si>
    <t>Max AFT C.G. Position (Taken form Act No. 7)</t>
  </si>
  <si>
    <t>Gross Weight C.G. Position (Taken from Act No. 7)</t>
  </si>
  <si>
    <t>ft</t>
  </si>
  <si>
    <t>Type of Shock Absorber</t>
  </si>
  <si>
    <t>η</t>
  </si>
  <si>
    <t>WL</t>
  </si>
  <si>
    <t>g</t>
  </si>
  <si>
    <t>ft/s2</t>
  </si>
  <si>
    <t>Tires</t>
  </si>
  <si>
    <t>v (max rate of descent)</t>
  </si>
  <si>
    <t>Steel Springs</t>
  </si>
  <si>
    <t>L/W</t>
  </si>
  <si>
    <t>normally used forstandard aircraft</t>
  </si>
  <si>
    <t>Rubber Rings</t>
  </si>
  <si>
    <t>η  ∙ S</t>
  </si>
  <si>
    <t>in</t>
  </si>
  <si>
    <t>Oleo-pneumatic</t>
  </si>
  <si>
    <t>Load in Nose Wheel</t>
  </si>
  <si>
    <t>Load in Main Wheel (each)</t>
  </si>
  <si>
    <t>a</t>
  </si>
  <si>
    <t>Ss</t>
  </si>
  <si>
    <t xml:space="preserve">Selected </t>
  </si>
  <si>
    <t xml:space="preserve">Static Load </t>
  </si>
  <si>
    <t>lb</t>
  </si>
  <si>
    <t>← corrected: 800 lb tier; computed main gear load = 726.9 lb/wheel &gt; 700 lb rating</t>
  </si>
  <si>
    <t xml:space="preserve">Tire Size </t>
  </si>
  <si>
    <t xml:space="preserve">5.00 – 4 </t>
  </si>
  <si>
    <t xml:space="preserve">Ply Rating </t>
  </si>
  <si>
    <t>Tire O. Diameter</t>
  </si>
  <si>
    <t xml:space="preserve">Flat Tire Radius </t>
  </si>
  <si>
    <t>Max. Tire Deflection</t>
  </si>
  <si>
    <t xml:space="preserve">lb </t>
  </si>
  <si>
    <t xml:space="preserve">in. </t>
  </si>
  <si>
    <t xml:space="preserve">- </t>
  </si>
  <si>
    <t>in.</t>
  </si>
  <si>
    <t>6.00 – 6</t>
  </si>
  <si>
    <t>Clean Airplane</t>
  </si>
  <si>
    <t>Dirty Airplane</t>
  </si>
  <si>
    <t>Part</t>
  </si>
  <si>
    <t>Description</t>
  </si>
  <si>
    <t>CDπ</t>
  </si>
  <si>
    <t>Aπ</t>
  </si>
  <si>
    <t>CDπAπ</t>
  </si>
  <si>
    <t>Fuselage</t>
  </si>
  <si>
    <t>ΣAπ</t>
  </si>
  <si>
    <t>m2</t>
  </si>
  <si>
    <t>—</t>
  </si>
  <si>
    <t>Figure 14.2</t>
  </si>
  <si>
    <t>(Δ(1/e)fuselage) / (Sπfuselage/s)</t>
  </si>
  <si>
    <t>NACA 2415</t>
  </si>
  <si>
    <t>NACA 2412</t>
  </si>
  <si>
    <t>0.004-0.010</t>
  </si>
  <si>
    <t>0.09-0.20</t>
  </si>
  <si>
    <t>Small plane, Nose</t>
  </si>
  <si>
    <t>0.006-0.008</t>
  </si>
  <si>
    <t>Engine</t>
  </si>
  <si>
    <t>Areas</t>
  </si>
  <si>
    <t xml:space="preserve">ft2 </t>
  </si>
  <si>
    <t xml:space="preserve"> m2</t>
  </si>
  <si>
    <t>NACA 0012</t>
  </si>
  <si>
    <t>Nose Wheel and Strut</t>
  </si>
  <si>
    <t>0.5-0.8</t>
  </si>
  <si>
    <t>Aspect Ratio</t>
  </si>
  <si>
    <t xml:space="preserve">Wing Gross </t>
  </si>
  <si>
    <t>Main Wheel and Strut</t>
  </si>
  <si>
    <t>0.3-0.5</t>
  </si>
  <si>
    <t>Aileron (total)</t>
  </si>
  <si>
    <t>0.02-0.3</t>
  </si>
  <si>
    <t>Flaps (total)</t>
  </si>
  <si>
    <t>kf</t>
  </si>
  <si>
    <t>Correction Factor</t>
  </si>
  <si>
    <t>0.13-0.15</t>
  </si>
  <si>
    <t>Nose wheel and Strut</t>
  </si>
  <si>
    <t>Landing Gear</t>
  </si>
  <si>
    <t>Main Wheels and Strut</t>
  </si>
  <si>
    <t>Wheels and Strut</t>
  </si>
  <si>
    <t>ΣCDπAπ</t>
  </si>
  <si>
    <t>60% span, Deflected 30</t>
  </si>
  <si>
    <t xml:space="preserve">Interference (Add 5% to </t>
  </si>
  <si>
    <t>)</t>
  </si>
  <si>
    <t xml:space="preserve">Roughness and Protuberances (Add 10% to </t>
  </si>
  <si>
    <t>ΣCDπAπTotal</t>
  </si>
  <si>
    <t>Interference (Add 5% to ΣCDπAπ)</t>
  </si>
  <si>
    <t>Roughness and Protuberances (Add 10% to ΣCDπAπ)</t>
  </si>
  <si>
    <t>Cdo</t>
  </si>
  <si>
    <t>cl^2</t>
  </si>
  <si>
    <t>CDO</t>
  </si>
  <si>
    <t xml:space="preserve">changeable </t>
  </si>
  <si>
    <t>cant touch this</t>
  </si>
  <si>
    <t>SEA LEVEL</t>
  </si>
  <si>
    <t>h = 5,000 ft</t>
  </si>
  <si>
    <t>h = 10,000 ft</t>
  </si>
  <si>
    <t>h = 15,000 ft</t>
  </si>
  <si>
    <t>h = 20,000 ft</t>
  </si>
  <si>
    <t>Vo</t>
  </si>
  <si>
    <t>CL</t>
  </si>
  <si>
    <t>CD</t>
  </si>
  <si>
    <t>TREQo</t>
  </si>
  <si>
    <t>THPREQDo</t>
  </si>
  <si>
    <t>V</t>
  </si>
  <si>
    <t>THPREQD</t>
  </si>
  <si>
    <t>hp</t>
  </si>
  <si>
    <t xml:space="preserve">Given: </t>
  </si>
  <si>
    <t>Values</t>
  </si>
  <si>
    <t>W (lbs)</t>
  </si>
  <si>
    <t>S (ft^2)</t>
  </si>
  <si>
    <t>CL MAX</t>
  </si>
  <si>
    <t>CD (clean)</t>
  </si>
  <si>
    <t>Cdi</t>
  </si>
  <si>
    <t>CL^2</t>
  </si>
  <si>
    <t>VMIN (mph)</t>
  </si>
  <si>
    <t>Therefore: Assumptions start at</t>
  </si>
  <si>
    <t>Vo (mph)</t>
  </si>
  <si>
    <t>ALTITUDE, h</t>
  </si>
  <si>
    <t>DENSITY RATIO, σ</t>
  </si>
  <si>
    <t>changeable</t>
  </si>
  <si>
    <t>% Design</t>
  </si>
  <si>
    <t>N</t>
  </si>
  <si>
    <t>V/ND</t>
  </si>
  <si>
    <t>THPAV</t>
  </si>
  <si>
    <t>BHB at Reduced N</t>
  </si>
  <si>
    <t xml:space="preserve">  </t>
  </si>
  <si>
    <t xml:space="preserve"> </t>
  </si>
  <si>
    <t>rpm</t>
  </si>
  <si>
    <t>THP reqd = THP av</t>
  </si>
  <si>
    <t>VO</t>
  </si>
  <si>
    <t>Mph</t>
  </si>
  <si>
    <t>VDES</t>
  </si>
  <si>
    <t>BHP design</t>
  </si>
  <si>
    <t>(assumed)</t>
  </si>
  <si>
    <t>lb-ft/sec</t>
  </si>
  <si>
    <t>N design</t>
  </si>
  <si>
    <t xml:space="preserve">V des </t>
  </si>
  <si>
    <t>rev/sec</t>
  </si>
  <si>
    <t>Cs</t>
  </si>
  <si>
    <t>J or V/ND</t>
  </si>
  <si>
    <t>D</t>
  </si>
  <si>
    <t>ALTITUDE FACTOR</t>
  </si>
  <si>
    <t>Fig. 44b</t>
  </si>
  <si>
    <t>Fig. 55b</t>
  </si>
  <si>
    <t>h = 5, 000 ft</t>
  </si>
  <si>
    <t>h = 10, 000 ft</t>
  </si>
  <si>
    <t>h = 15, 000 ft</t>
  </si>
  <si>
    <t>h = 20, 000 ft</t>
  </si>
  <si>
    <t>EHP</t>
  </si>
  <si>
    <t>R.C.</t>
  </si>
  <si>
    <t>ft/min</t>
  </si>
  <si>
    <t>Sea Level</t>
  </si>
  <si>
    <t>h = 5 000 ft</t>
  </si>
  <si>
    <t>h = 10 000 ft</t>
  </si>
  <si>
    <t>h = 15 000 ft</t>
  </si>
  <si>
    <t>h = 20 000 ft</t>
  </si>
  <si>
    <t>THPav</t>
  </si>
  <si>
    <t>THPreq</t>
  </si>
  <si>
    <t>Altitude</t>
  </si>
  <si>
    <t>t</t>
  </si>
  <si>
    <t xml:space="preserve">Service Ceiling  </t>
  </si>
  <si>
    <t>Absolute Ceiling</t>
  </si>
  <si>
    <t>THPREQD0</t>
  </si>
  <si>
    <t>BPB @ Reduced N</t>
  </si>
  <si>
    <t>V/ND (J)</t>
  </si>
  <si>
    <t xml:space="preserve">%Design V/ND </t>
  </si>
  <si>
    <t xml:space="preserve">%Design  </t>
  </si>
  <si>
    <t>max rc</t>
  </si>
  <si>
    <t>max v</t>
  </si>
  <si>
    <t>h</t>
  </si>
  <si>
    <t>R.C.0</t>
  </si>
  <si>
    <t>R.C.h</t>
  </si>
  <si>
    <t>H</t>
  </si>
  <si>
    <t>GIVEN</t>
  </si>
  <si>
    <t>Best Range</t>
  </si>
  <si>
    <t>Best Endurance</t>
  </si>
  <si>
    <t>Initial Gross Weight, W0</t>
  </si>
  <si>
    <t>Wing Area, S</t>
  </si>
  <si>
    <t>1/</t>
  </si>
  <si>
    <t xml:space="preserve">Weight of Fuel, </t>
  </si>
  <si>
    <t>hours</t>
  </si>
  <si>
    <t>← endurance display cells now formula-driven from K4 (was hardcoded 27 hrs)</t>
  </si>
  <si>
    <t xml:space="preserve">BHP @75% </t>
  </si>
  <si>
    <t>BSFCCR</t>
  </si>
  <si>
    <t>← corrected: denominator now BHP@65%=0.65×125=81.25 (was BHP@75%=93.75, mixing power settings)</t>
  </si>
  <si>
    <t>Engine Speed</t>
  </si>
  <si>
    <t>minutes</t>
  </si>
  <si>
    <t>Fuel Consumption</t>
  </si>
  <si>
    <t>seconds</t>
  </si>
  <si>
    <t xml:space="preserve">Fuel Consumption @65% </t>
  </si>
  <si>
    <t xml:space="preserve">Density At Sea Level, </t>
  </si>
  <si>
    <t>Flight Speed Best Range</t>
  </si>
  <si>
    <t>Flight Speed Best Endurance</t>
  </si>
  <si>
    <t>Polar Drag Equation: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</si>
</sst>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"/>
    <numFmt numFmtId="167" formatCode="_(* #,##0.00_);_(* \(#,##0.00\);_(* \-??_);_(@_)"/>
  </numFmts>
  <fonts count="37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theme="1"/>
      <name val="Calibri (Body)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GreekC"/>
      <charset val="1"/>
    </font>
    <font>
      <sz val="11"/>
      <color rgb="FF000000"/>
      <name val="Cambria Math"/>
      <family val="1"/>
      <charset val="1"/>
    </font>
    <font>
      <b/>
      <sz val="18"/>
      <color theme="3"/>
      <name val="Calibri Light"/>
      <family val="2"/>
      <charset val="1"/>
    </font>
    <font>
      <b/>
      <sz val="18"/>
      <color theme="1"/>
      <name val="Calibri"/>
      <family val="2"/>
      <charset val="1"/>
    </font>
    <font>
      <b/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name val="Calibri"/>
      <family val="2"/>
      <charset val="1"/>
    </font>
    <font>
      <i/>
      <sz val="8"/>
      <color rgb="FF885500"/>
      <name val="Cambria"/>
      <charset val="1"/>
    </font>
    <font>
      <b/>
      <sz val="11"/>
      <color theme="1"/>
      <name val="Calibri"/>
      <family val="2"/>
      <charset val="1"/>
    </font>
    <font>
      <sz val="15"/>
      <color rgb="FF040C28"/>
      <name val="Arial"/>
      <family val="2"/>
      <charset val="1"/>
    </font>
    <font>
      <i/>
      <sz val="11"/>
      <color rgb="FF000000"/>
      <name val="Calibri"/>
      <family val="2"/>
      <charset val="1"/>
    </font>
    <font>
      <sz val="8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3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i/>
      <sz val="9"/>
      <color rgb="FF808080"/>
      <name val="Calibri"/>
    </font>
    <font>
      <b/>
      <sz val="20"/>
      <color rgb="FF2F5496"/>
      <name val="Arial"/>
    </font>
    <font>
      <sz val="14"/>
      <color rgb="FF2F5496"/>
      <name val="Arial"/>
    </font>
    <font>
      <b/>
      <sz val="11"/>
      <name val="Arial"/>
    </font>
    <font>
      <sz val="11"/>
      <name val="Arial"/>
    </font>
    <font>
      <b/>
      <sz val="13"/>
      <color rgb="FF2F5496"/>
      <name val="Arial"/>
    </font>
    <font>
      <b/>
      <sz val="10"/>
      <color rgb="FF2F5496"/>
      <name val="Arial"/>
    </font>
    <font>
      <b/>
      <sz val="10"/>
      <name val="Arial"/>
    </font>
    <font>
      <sz val="10"/>
      <name val="Arial"/>
    </font>
  </fonts>
  <fills count="49">
    <fill>
      <patternFill patternType="none"/>
    </fill>
    <fill>
      <patternFill patternType="gray125"/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BDBDB"/>
      </patternFill>
    </fill>
    <fill>
      <patternFill patternType="solid">
        <fgColor theme="9" tint="0.79989013336588644"/>
        <bgColor rgb="FFE2EFDA"/>
      </patternFill>
    </fill>
    <fill>
      <patternFill patternType="solid">
        <fgColor theme="8" tint="0.39988402966399123"/>
        <bgColor rgb="FFB4C7E7"/>
      </patternFill>
    </fill>
    <fill>
      <patternFill patternType="solid">
        <fgColor theme="5" tint="0.39988402966399123"/>
        <bgColor rgb="FFF8CBAD"/>
      </patternFill>
    </fill>
    <fill>
      <patternFill patternType="solid">
        <fgColor theme="8" tint="0.59987182226020086"/>
        <bgColor rgb="FFB4C7E7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FFFF00"/>
        <bgColor rgb="FFFFD966"/>
      </patternFill>
    </fill>
    <fill>
      <patternFill patternType="solid">
        <fgColor rgb="FFE2EFDA"/>
        <bgColor rgb="FFE2F0D9"/>
      </patternFill>
    </fill>
    <fill>
      <patternFill patternType="solid">
        <fgColor rgb="FFD9E1F2"/>
        <bgColor rgb="FFDAE3F3"/>
      </patternFill>
    </fill>
    <fill>
      <patternFill patternType="solid">
        <fgColor rgb="FFF2F2F2"/>
        <bgColor rgb="FFEDEDED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7" tint="0.59987182226020086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theme="6" tint="0.79989013336588644"/>
        <bgColor rgb="FFEEECE1"/>
      </patternFill>
    </fill>
    <fill>
      <patternFill patternType="solid">
        <fgColor theme="0"/>
        <bgColor rgb="FFF2F2F2"/>
      </patternFill>
    </fill>
    <fill>
      <patternFill patternType="solid">
        <fgColor theme="8" tint="0.79989013336588644"/>
        <bgColor rgb="FFDBE5F1"/>
      </patternFill>
    </fill>
    <fill>
      <patternFill patternType="solid">
        <fgColor theme="6" tint="0.39988402966399123"/>
        <bgColor rgb="FFD0CECE"/>
      </patternFill>
    </fill>
    <fill>
      <patternFill patternType="solid">
        <fgColor theme="2" tint="-9.9978637043366805E-2"/>
        <bgColor rgb="FFC9C9C9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8" tint="-0.249977111117893"/>
        <bgColor rgb="FF4472C4"/>
      </patternFill>
    </fill>
    <fill>
      <patternFill patternType="solid">
        <fgColor theme="4" tint="0.59987182226020086"/>
        <bgColor rgb="FF9DC3E6"/>
      </patternFill>
    </fill>
    <fill>
      <patternFill patternType="solid">
        <fgColor theme="5"/>
        <bgColor rgb="FFE36C0A"/>
      </patternFill>
    </fill>
    <fill>
      <patternFill patternType="solid">
        <fgColor theme="2" tint="-0.249977111117893"/>
        <bgColor rgb="FFA5A5A5"/>
      </patternFill>
    </fill>
    <fill>
      <patternFill patternType="solid">
        <fgColor theme="7" tint="0.39988402966399123"/>
        <bgColor rgb="FFFFE699"/>
      </patternFill>
    </fill>
    <fill>
      <patternFill patternType="solid">
        <fgColor theme="4" tint="0.39988402966399123"/>
        <bgColor rgb="FF95B3D7"/>
      </patternFill>
    </fill>
    <fill>
      <patternFill patternType="solid">
        <fgColor rgb="FF548DD4"/>
        <bgColor rgb="FF4F81BD"/>
      </patternFill>
    </fill>
    <fill>
      <patternFill patternType="solid">
        <fgColor rgb="FFE36C0A"/>
        <bgColor rgb="FFED7D31"/>
      </patternFill>
    </fill>
    <fill>
      <patternFill patternType="solid">
        <fgColor rgb="FF4F81BD"/>
        <bgColor rgb="FF548DD4"/>
      </patternFill>
    </fill>
    <fill>
      <patternFill patternType="solid">
        <fgColor rgb="FFEEECE1"/>
        <bgColor rgb="FFEDEDED"/>
      </patternFill>
    </fill>
    <fill>
      <patternFill patternType="solid">
        <fgColor rgb="FF95B3D7"/>
        <bgColor rgb="FF8FAADC"/>
      </patternFill>
    </fill>
    <fill>
      <patternFill patternType="solid">
        <fgColor rgb="FFDBE5F1"/>
        <bgColor rgb="FFDAE3F3"/>
      </patternFill>
    </fill>
    <fill>
      <patternFill patternType="solid">
        <fgColor rgb="FFFFAE0D"/>
        <bgColor rgb="FFFFC000"/>
      </patternFill>
    </fill>
    <fill>
      <patternFill patternType="solid">
        <fgColor rgb="FF9BBB59"/>
        <bgColor rgb="FFA9D18E"/>
      </patternFill>
    </fill>
    <fill>
      <patternFill patternType="solid">
        <fgColor rgb="FF4472C4"/>
        <bgColor rgb="FF2E75B6"/>
      </patternFill>
    </fill>
    <fill>
      <patternFill patternType="solid">
        <fgColor theme="2"/>
        <bgColor rgb="FFEEECE1"/>
      </patternFill>
    </fill>
    <fill>
      <patternFill patternType="solid">
        <fgColor rgb="FF7030A0"/>
        <bgColor rgb="FF44546A"/>
      </patternFill>
    </fill>
    <fill>
      <patternFill patternType="solid">
        <fgColor rgb="FF7CE0F8"/>
        <bgColor rgb="FF9DC3E6"/>
      </patternFill>
    </fill>
    <fill>
      <patternFill patternType="solid">
        <fgColor theme="7"/>
        <bgColor rgb="FFFFAE0D"/>
      </patternFill>
    </fill>
    <fill>
      <patternFill patternType="solid">
        <fgColor theme="7" tint="0.79989013336588644"/>
        <bgColor rgb="FFFFFACD"/>
      </patternFill>
    </fill>
    <fill>
      <patternFill patternType="solid">
        <fgColor theme="9"/>
        <bgColor rgb="FF9BBB59"/>
      </patternFill>
    </fill>
    <fill>
      <patternFill patternType="solid">
        <fgColor rgb="FFC00000"/>
        <bgColor rgb="FF8855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rgb="FF4A442A"/>
      </left>
      <right style="medium">
        <color rgb="FF4A442A"/>
      </right>
      <top style="medium">
        <color rgb="FF4A442A"/>
      </top>
      <bottom style="medium">
        <color rgb="FF4A442A"/>
      </bottom>
      <diagonal/>
    </border>
    <border>
      <left/>
      <right style="medium">
        <color rgb="FF4A442A"/>
      </right>
      <top style="medium">
        <color rgb="FF4A442A"/>
      </top>
      <bottom style="medium">
        <color rgb="FF4A442A"/>
      </bottom>
      <diagonal/>
    </border>
    <border>
      <left style="medium">
        <color rgb="FF4A442A"/>
      </left>
      <right style="medium">
        <color rgb="FF4A442A"/>
      </right>
      <top/>
      <bottom style="medium">
        <color rgb="FF4A442A"/>
      </bottom>
      <diagonal/>
    </border>
    <border>
      <left/>
      <right style="medium">
        <color rgb="FF4A442A"/>
      </right>
      <top/>
      <bottom style="medium">
        <color rgb="FF4A442A"/>
      </bottom>
      <diagonal/>
    </border>
    <border>
      <left style="thick">
        <color auto="1"/>
      </left>
      <right style="medium">
        <color rgb="FF4A442A"/>
      </right>
      <top style="thick">
        <color auto="1"/>
      </top>
      <bottom style="medium">
        <color rgb="FF4A442A"/>
      </bottom>
      <diagonal/>
    </border>
    <border>
      <left style="medium">
        <color rgb="FF4A442A"/>
      </left>
      <right style="thick">
        <color auto="1"/>
      </right>
      <top style="thick">
        <color auto="1"/>
      </top>
      <bottom style="medium">
        <color rgb="FF4A442A"/>
      </bottom>
      <diagonal/>
    </border>
    <border>
      <left style="thick">
        <color auto="1"/>
      </left>
      <right style="medium">
        <color rgb="FF4A442A"/>
      </right>
      <top/>
      <bottom style="medium">
        <color rgb="FF4A442A"/>
      </bottom>
      <diagonal/>
    </border>
    <border>
      <left/>
      <right style="thick">
        <color auto="1"/>
      </right>
      <top/>
      <bottom style="medium">
        <color rgb="FF4A442A"/>
      </bottom>
      <diagonal/>
    </border>
    <border>
      <left style="thick">
        <color auto="1"/>
      </left>
      <right style="medium">
        <color rgb="FF4A442A"/>
      </right>
      <top/>
      <bottom style="thick">
        <color auto="1"/>
      </bottom>
      <diagonal/>
    </border>
    <border>
      <left/>
      <right style="medium">
        <color rgb="FF4A442A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25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164" fontId="0" fillId="0" borderId="1" xfId="0" applyNumberFormat="1" applyBorder="1" applyAlignment="1"/>
    <xf numFmtId="0" fontId="0" fillId="0" borderId="1" xfId="0" applyBorder="1" applyAlignment="1"/>
    <xf numFmtId="2" fontId="0" fillId="0" borderId="1" xfId="0" applyNumberFormat="1" applyBorder="1" applyAlignment="1"/>
    <xf numFmtId="0" fontId="0" fillId="0" borderId="1" xfId="0" applyFont="1" applyBorder="1" applyAlignment="1">
      <alignment horizontal="center"/>
    </xf>
    <xf numFmtId="0" fontId="0" fillId="0" borderId="6" xfId="0" applyFont="1" applyBorder="1" applyAlignment="1">
      <alignment wrapText="1"/>
    </xf>
    <xf numFmtId="0" fontId="0" fillId="7" borderId="2" xfId="0" applyFont="1" applyFill="1" applyBorder="1" applyAlignment="1"/>
    <xf numFmtId="2" fontId="0" fillId="0" borderId="0" xfId="0" applyNumberFormat="1" applyAlignment="1"/>
    <xf numFmtId="2" fontId="0" fillId="8" borderId="1" xfId="0" applyNumberFormat="1" applyFill="1" applyBorder="1" applyAlignment="1"/>
    <xf numFmtId="0" fontId="0" fillId="8" borderId="1" xfId="0" applyFill="1" applyBorder="1" applyAlignment="1"/>
    <xf numFmtId="2" fontId="0" fillId="2" borderId="1" xfId="0" applyNumberFormat="1" applyFill="1" applyBorder="1" applyAlignment="1"/>
    <xf numFmtId="0" fontId="0" fillId="2" borderId="1" xfId="0" applyFill="1" applyBorder="1" applyAlignment="1"/>
    <xf numFmtId="0" fontId="3" fillId="0" borderId="1" xfId="0" applyFont="1" applyBorder="1" applyAlignment="1"/>
    <xf numFmtId="0" fontId="3" fillId="0" borderId="0" xfId="0" applyFont="1" applyAlignment="1"/>
    <xf numFmtId="0" fontId="3" fillId="0" borderId="11" xfId="0" applyFont="1" applyBorder="1" applyAlignment="1"/>
    <xf numFmtId="0" fontId="3" fillId="9" borderId="1" xfId="0" applyFont="1" applyFill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16" fontId="0" fillId="0" borderId="0" xfId="0" applyNumberFormat="1" applyFont="1" applyAlignment="1"/>
    <xf numFmtId="0" fontId="3" fillId="10" borderId="2" xfId="0" applyFont="1" applyFill="1" applyBorder="1" applyAlignment="1"/>
    <xf numFmtId="0" fontId="3" fillId="10" borderId="11" xfId="0" applyFont="1" applyFill="1" applyBorder="1" applyAlignment="1"/>
    <xf numFmtId="0" fontId="3" fillId="0" borderId="2" xfId="0" applyFont="1" applyBorder="1" applyAlignment="1"/>
    <xf numFmtId="0" fontId="3" fillId="11" borderId="13" xfId="0" applyFont="1" applyFill="1" applyBorder="1" applyAlignment="1"/>
    <xf numFmtId="0" fontId="4" fillId="0" borderId="1" xfId="0" applyFont="1" applyBorder="1" applyAlignment="1"/>
    <xf numFmtId="0" fontId="5" fillId="9" borderId="1" xfId="0" applyFont="1" applyFill="1" applyBorder="1" applyAlignment="1"/>
    <xf numFmtId="165" fontId="0" fillId="0" borderId="0" xfId="0" applyNumberFormat="1" applyAlignment="1"/>
    <xf numFmtId="0" fontId="3" fillId="0" borderId="14" xfId="0" applyFont="1" applyBorder="1" applyAlignment="1"/>
    <xf numFmtId="0" fontId="6" fillId="0" borderId="1" xfId="0" applyFont="1" applyBorder="1" applyAlignment="1"/>
    <xf numFmtId="0" fontId="7" fillId="0" borderId="0" xfId="0" applyFont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10" fillId="0" borderId="15" xfId="0" applyFont="1" applyBorder="1" applyAlignment="1"/>
    <xf numFmtId="0" fontId="10" fillId="0" borderId="0" xfId="0" applyFont="1" applyAlignment="1"/>
    <xf numFmtId="0" fontId="10" fillId="0" borderId="16" xfId="0" applyFont="1" applyBorder="1" applyAlignment="1"/>
    <xf numFmtId="0" fontId="0" fillId="0" borderId="18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164" fontId="0" fillId="13" borderId="15" xfId="0" applyNumberFormat="1" applyFill="1" applyBorder="1" applyAlignment="1"/>
    <xf numFmtId="164" fontId="0" fillId="13" borderId="0" xfId="0" applyNumberFormat="1" applyFill="1" applyAlignment="1"/>
    <xf numFmtId="164" fontId="10" fillId="13" borderId="15" xfId="0" applyNumberFormat="1" applyFont="1" applyFill="1" applyBorder="1" applyAlignment="1"/>
    <xf numFmtId="164" fontId="10" fillId="13" borderId="0" xfId="0" applyNumberFormat="1" applyFont="1" applyFill="1" applyAlignment="1"/>
    <xf numFmtId="164" fontId="10" fillId="0" borderId="16" xfId="0" applyNumberFormat="1" applyFont="1" applyBorder="1" applyAlignment="1"/>
    <xf numFmtId="164" fontId="0" fillId="0" borderId="15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14" borderId="15" xfId="0" applyNumberFormat="1" applyFill="1" applyBorder="1" applyAlignment="1"/>
    <xf numFmtId="164" fontId="0" fillId="14" borderId="0" xfId="0" applyNumberFormat="1" applyFill="1" applyAlignment="1"/>
    <xf numFmtId="164" fontId="0" fillId="0" borderId="16" xfId="0" applyNumberFormat="1" applyBorder="1" applyAlignment="1"/>
    <xf numFmtId="164" fontId="10" fillId="11" borderId="15" xfId="0" applyNumberFormat="1" applyFont="1" applyFill="1" applyBorder="1" applyAlignment="1"/>
    <xf numFmtId="164" fontId="10" fillId="11" borderId="0" xfId="0" applyNumberFormat="1" applyFont="1" applyFill="1" applyAlignment="1"/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2" fontId="3" fillId="15" borderId="23" xfId="0" applyNumberFormat="1" applyFont="1" applyFill="1" applyBorder="1" applyAlignment="1">
      <alignment horizontal="center" vertical="center" wrapText="1"/>
    </xf>
    <xf numFmtId="2" fontId="3" fillId="15" borderId="24" xfId="0" applyNumberFormat="1" applyFont="1" applyFill="1" applyBorder="1" applyAlignment="1">
      <alignment horizontal="center" vertical="center" wrapText="1"/>
    </xf>
    <xf numFmtId="2" fontId="3" fillId="0" borderId="24" xfId="0" applyNumberFormat="1" applyFont="1" applyBorder="1" applyAlignment="1">
      <alignment horizontal="center" vertical="center" wrapText="1"/>
    </xf>
    <xf numFmtId="165" fontId="12" fillId="15" borderId="24" xfId="0" applyNumberFormat="1" applyFont="1" applyFill="1" applyBorder="1" applyAlignment="1">
      <alignment horizontal="center" vertical="center" wrapText="1"/>
    </xf>
    <xf numFmtId="165" fontId="3" fillId="0" borderId="24" xfId="0" applyNumberFormat="1" applyFont="1" applyBorder="1" applyAlignment="1">
      <alignment horizontal="center" vertical="center" wrapText="1"/>
    </xf>
    <xf numFmtId="166" fontId="3" fillId="0" borderId="24" xfId="0" applyNumberFormat="1" applyFont="1" applyBorder="1" applyAlignment="1">
      <alignment horizontal="center" vertical="center" wrapText="1"/>
    </xf>
    <xf numFmtId="2" fontId="0" fillId="15" borderId="23" xfId="0" applyNumberFormat="1" applyFill="1" applyBorder="1" applyAlignment="1">
      <alignment horizontal="center" vertical="center" wrapText="1"/>
    </xf>
    <xf numFmtId="2" fontId="0" fillId="15" borderId="24" xfId="0" applyNumberFormat="1" applyFill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 wrapText="1"/>
    </xf>
    <xf numFmtId="165" fontId="0" fillId="15" borderId="24" xfId="0" applyNumberFormat="1" applyFill="1" applyBorder="1" applyAlignment="1">
      <alignment horizontal="center" vertical="center" wrapText="1"/>
    </xf>
    <xf numFmtId="165" fontId="0" fillId="0" borderId="24" xfId="0" applyNumberFormat="1" applyBorder="1" applyAlignment="1">
      <alignment horizontal="center" vertical="center" wrapText="1"/>
    </xf>
    <xf numFmtId="2" fontId="3" fillId="15" borderId="25" xfId="0" applyNumberFormat="1" applyFont="1" applyFill="1" applyBorder="1" applyAlignment="1">
      <alignment horizontal="center" vertical="center" wrapText="1"/>
    </xf>
    <xf numFmtId="2" fontId="3" fillId="15" borderId="26" xfId="0" applyNumberFormat="1" applyFont="1" applyFill="1" applyBorder="1" applyAlignment="1">
      <alignment horizontal="center" vertical="center" wrapText="1"/>
    </xf>
    <xf numFmtId="2" fontId="3" fillId="15" borderId="27" xfId="0" applyNumberFormat="1" applyFont="1" applyFill="1" applyBorder="1" applyAlignment="1">
      <alignment horizontal="center" vertical="center" wrapText="1"/>
    </xf>
    <xf numFmtId="164" fontId="0" fillId="14" borderId="28" xfId="0" applyNumberFormat="1" applyFill="1" applyBorder="1" applyAlignment="1"/>
    <xf numFmtId="0" fontId="0" fillId="0" borderId="13" xfId="0" applyBorder="1" applyAlignment="1"/>
    <xf numFmtId="164" fontId="0" fillId="14" borderId="13" xfId="0" applyNumberFormat="1" applyFill="1" applyBorder="1" applyAlignment="1"/>
    <xf numFmtId="164" fontId="10" fillId="11" borderId="28" xfId="0" applyNumberFormat="1" applyFont="1" applyFill="1" applyBorder="1" applyAlignment="1"/>
    <xf numFmtId="0" fontId="10" fillId="0" borderId="13" xfId="0" applyFont="1" applyBorder="1" applyAlignment="1"/>
    <xf numFmtId="164" fontId="10" fillId="11" borderId="13" xfId="0" applyNumberFormat="1" applyFont="1" applyFill="1" applyBorder="1" applyAlignment="1"/>
    <xf numFmtId="164" fontId="0" fillId="0" borderId="28" xfId="0" applyNumberFormat="1" applyBorder="1" applyAlignment="1">
      <alignment horizontal="center"/>
    </xf>
    <xf numFmtId="0" fontId="0" fillId="0" borderId="13" xfId="0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166" fontId="3" fillId="0" borderId="23" xfId="0" applyNumberFormat="1" applyFont="1" applyBorder="1" applyAlignment="1">
      <alignment horizontal="center" vertical="center" wrapText="1"/>
    </xf>
    <xf numFmtId="164" fontId="3" fillId="0" borderId="24" xfId="0" applyNumberFormat="1" applyFont="1" applyBorder="1" applyAlignment="1">
      <alignment horizontal="center" vertical="center" wrapText="1"/>
    </xf>
    <xf numFmtId="0" fontId="3" fillId="15" borderId="24" xfId="0" applyFont="1" applyFill="1" applyBorder="1" applyAlignment="1">
      <alignment horizontal="center" vertical="center" wrapText="1"/>
    </xf>
    <xf numFmtId="164" fontId="0" fillId="0" borderId="0" xfId="0" applyNumberFormat="1" applyAlignment="1"/>
    <xf numFmtId="0" fontId="0" fillId="0" borderId="0" xfId="0" applyFont="1" applyAlignment="1">
      <alignment horizontal="left"/>
    </xf>
    <xf numFmtId="0" fontId="0" fillId="16" borderId="0" xfId="0" applyFill="1" applyAlignment="1">
      <alignment horizontal="center"/>
    </xf>
    <xf numFmtId="0" fontId="13" fillId="0" borderId="0" xfId="0" applyFont="1" applyAlignment="1"/>
    <xf numFmtId="164" fontId="0" fillId="0" borderId="29" xfId="0" applyNumberFormat="1" applyBorder="1" applyAlignment="1"/>
    <xf numFmtId="164" fontId="0" fillId="0" borderId="13" xfId="0" applyNumberFormat="1" applyBorder="1" applyAlignment="1"/>
    <xf numFmtId="0" fontId="3" fillId="0" borderId="3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 indent="4"/>
    </xf>
    <xf numFmtId="2" fontId="0" fillId="0" borderId="21" xfId="0" applyNumberFormat="1" applyFont="1" applyBorder="1" applyAlignment="1">
      <alignment horizontal="center" vertical="center" wrapText="1"/>
    </xf>
    <xf numFmtId="2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 indent="3"/>
    </xf>
    <xf numFmtId="0" fontId="0" fillId="0" borderId="1" xfId="0" applyFont="1" applyBorder="1" applyAlignment="1">
      <alignment horizontal="left" vertical="center" wrapText="1" indent="6"/>
    </xf>
    <xf numFmtId="2" fontId="0" fillId="18" borderId="1" xfId="0" applyNumberFormat="1" applyFont="1" applyFill="1" applyBorder="1" applyAlignment="1">
      <alignment horizontal="center" vertical="center"/>
    </xf>
    <xf numFmtId="165" fontId="0" fillId="17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5" fontId="14" fillId="16" borderId="1" xfId="0" applyNumberFormat="1" applyFont="1" applyFill="1" applyBorder="1" applyAlignment="1">
      <alignment vertical="center"/>
    </xf>
    <xf numFmtId="165" fontId="14" fillId="17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5" fontId="0" fillId="16" borderId="0" xfId="0" applyNumberFormat="1" applyFill="1" applyAlignment="1"/>
    <xf numFmtId="2" fontId="0" fillId="18" borderId="34" xfId="0" applyNumberFormat="1" applyFont="1" applyFill="1" applyBorder="1" applyAlignment="1">
      <alignment horizontal="center" vertical="center"/>
    </xf>
    <xf numFmtId="0" fontId="0" fillId="8" borderId="34" xfId="0" applyFont="1" applyFill="1" applyBorder="1" applyAlignment="1">
      <alignment horizontal="center" vertical="center"/>
    </xf>
    <xf numFmtId="165" fontId="0" fillId="8" borderId="34" xfId="0" applyNumberForma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165" fontId="14" fillId="17" borderId="34" xfId="0" applyNumberFormat="1" applyFont="1" applyFill="1" applyBorder="1" applyAlignment="1">
      <alignment vertical="center"/>
    </xf>
    <xf numFmtId="0" fontId="0" fillId="13" borderId="1" xfId="0" applyFont="1" applyFill="1" applyBorder="1" applyAlignment="1">
      <alignment horizontal="center" vertical="center" wrapText="1"/>
    </xf>
    <xf numFmtId="0" fontId="16" fillId="0" borderId="0" xfId="0" applyFont="1" applyAlignment="1"/>
    <xf numFmtId="165" fontId="0" fillId="16" borderId="34" xfId="0" applyNumberFormat="1" applyFill="1" applyBorder="1" applyAlignment="1">
      <alignment horizontal="center" vertical="center"/>
    </xf>
    <xf numFmtId="0" fontId="0" fillId="7" borderId="0" xfId="0" applyFill="1" applyAlignment="1"/>
    <xf numFmtId="0" fontId="0" fillId="14" borderId="0" xfId="0" applyFont="1" applyFill="1" applyAlignment="1"/>
    <xf numFmtId="165" fontId="0" fillId="15" borderId="0" xfId="0" applyNumberFormat="1" applyFill="1" applyAlignment="1"/>
    <xf numFmtId="165" fontId="0" fillId="2" borderId="0" xfId="0" applyNumberFormat="1" applyFill="1" applyAlignment="1"/>
    <xf numFmtId="0" fontId="0" fillId="15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/>
    <xf numFmtId="165" fontId="0" fillId="8" borderId="20" xfId="0" applyNumberFormat="1" applyFill="1" applyBorder="1" applyAlignment="1">
      <alignment horizontal="center" vertical="center"/>
    </xf>
    <xf numFmtId="165" fontId="0" fillId="8" borderId="14" xfId="0" applyNumberFormat="1" applyFill="1" applyBorder="1" applyAlignment="1">
      <alignment horizontal="center" vertical="center"/>
    </xf>
    <xf numFmtId="2" fontId="14" fillId="17" borderId="34" xfId="0" applyNumberFormat="1" applyFont="1" applyFill="1" applyBorder="1" applyAlignment="1">
      <alignment vertical="center"/>
    </xf>
    <xf numFmtId="2" fontId="14" fillId="17" borderId="1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0" fillId="8" borderId="34" xfId="0" applyNumberFormat="1" applyFill="1" applyBorder="1" applyAlignment="1">
      <alignment horizontal="center" vertical="center"/>
    </xf>
    <xf numFmtId="0" fontId="0" fillId="19" borderId="0" xfId="0" applyFont="1" applyFill="1" applyAlignment="1"/>
    <xf numFmtId="165" fontId="0" fillId="6" borderId="0" xfId="0" applyNumberFormat="1" applyFill="1" applyAlignment="1"/>
    <xf numFmtId="0" fontId="0" fillId="0" borderId="12" xfId="0" applyFont="1" applyBorder="1" applyAlignment="1">
      <alignment horizontal="center"/>
    </xf>
    <xf numFmtId="0" fontId="0" fillId="15" borderId="4" xfId="0" applyFont="1" applyFill="1" applyBorder="1" applyAlignment="1">
      <alignment wrapText="1"/>
    </xf>
    <xf numFmtId="0" fontId="0" fillId="15" borderId="35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Font="1" applyBorder="1" applyAlignment="1">
      <alignment wrapText="1"/>
    </xf>
    <xf numFmtId="0" fontId="0" fillId="0" borderId="10" xfId="0" applyBorder="1" applyAlignment="1">
      <alignment horizontal="center"/>
    </xf>
    <xf numFmtId="165" fontId="0" fillId="8" borderId="1" xfId="0" applyNumberFormat="1" applyFill="1" applyBorder="1" applyAlignment="1"/>
    <xf numFmtId="0" fontId="0" fillId="16" borderId="1" xfId="0" applyFill="1" applyBorder="1" applyAlignment="1"/>
    <xf numFmtId="0" fontId="18" fillId="7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/>
    <xf numFmtId="0" fontId="0" fillId="0" borderId="10" xfId="0" applyFont="1" applyBorder="1" applyAlignment="1"/>
    <xf numFmtId="0" fontId="18" fillId="15" borderId="36" xfId="0" applyFont="1" applyFill="1" applyBorder="1" applyAlignment="1">
      <alignment horizontal="center" vertical="center" wrapText="1"/>
    </xf>
    <xf numFmtId="0" fontId="18" fillId="15" borderId="37" xfId="0" applyFont="1" applyFill="1" applyBorder="1" applyAlignment="1">
      <alignment horizontal="center" vertical="center" wrapText="1"/>
    </xf>
    <xf numFmtId="0" fontId="18" fillId="15" borderId="38" xfId="0" applyFont="1" applyFill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0" fillId="13" borderId="42" xfId="0" applyFont="1" applyFill="1" applyBorder="1" applyAlignment="1">
      <alignment horizontal="center" vertical="center" wrapText="1"/>
    </xf>
    <xf numFmtId="0" fontId="0" fillId="13" borderId="24" xfId="0" applyFont="1" applyFill="1" applyBorder="1" applyAlignment="1">
      <alignment horizontal="center" vertical="center" wrapText="1"/>
    </xf>
    <xf numFmtId="0" fontId="0" fillId="15" borderId="4" xfId="0" applyFont="1" applyFill="1" applyBorder="1" applyAlignment="1"/>
    <xf numFmtId="2" fontId="0" fillId="0" borderId="7" xfId="0" applyNumberFormat="1" applyBorder="1" applyAlignment="1">
      <alignment horizontal="center"/>
    </xf>
    <xf numFmtId="0" fontId="20" fillId="7" borderId="25" xfId="0" applyFont="1" applyFill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/>
    </xf>
    <xf numFmtId="0" fontId="0" fillId="7" borderId="25" xfId="0" applyFont="1" applyFill="1" applyBorder="1" applyAlignment="1">
      <alignment horizontal="center" vertical="center" wrapText="1"/>
    </xf>
    <xf numFmtId="165" fontId="0" fillId="8" borderId="24" xfId="0" applyNumberFormat="1" applyFill="1" applyBorder="1" applyAlignment="1">
      <alignment horizontal="center" vertical="center" wrapText="1"/>
    </xf>
    <xf numFmtId="165" fontId="0" fillId="20" borderId="24" xfId="0" applyNumberFormat="1" applyFill="1" applyBorder="1" applyAlignment="1">
      <alignment horizontal="center" vertical="center" wrapText="1"/>
    </xf>
    <xf numFmtId="0" fontId="21" fillId="0" borderId="0" xfId="0" applyFont="1" applyAlignment="1"/>
    <xf numFmtId="0" fontId="10" fillId="14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35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1" fontId="21" fillId="22" borderId="1" xfId="0" applyNumberFormat="1" applyFont="1" applyFill="1" applyBorder="1" applyAlignment="1">
      <alignment horizontal="center" vertical="center"/>
    </xf>
    <xf numFmtId="165" fontId="21" fillId="22" borderId="1" xfId="0" applyNumberFormat="1" applyFont="1" applyFill="1" applyBorder="1" applyAlignment="1">
      <alignment horizontal="center" vertical="center"/>
    </xf>
    <xf numFmtId="2" fontId="21" fillId="22" borderId="1" xfId="0" applyNumberFormat="1" applyFont="1" applyFill="1" applyBorder="1" applyAlignment="1">
      <alignment horizontal="center" vertical="center"/>
    </xf>
    <xf numFmtId="2" fontId="21" fillId="22" borderId="6" xfId="0" applyNumberFormat="1" applyFont="1" applyFill="1" applyBorder="1" applyAlignment="1">
      <alignment horizontal="center" vertical="center"/>
    </xf>
    <xf numFmtId="2" fontId="21" fillId="22" borderId="7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65" fontId="21" fillId="8" borderId="2" xfId="0" applyNumberFormat="1" applyFont="1" applyFill="1" applyBorder="1" applyAlignment="1">
      <alignment horizontal="right" vertical="center"/>
    </xf>
    <xf numFmtId="2" fontId="21" fillId="8" borderId="34" xfId="0" applyNumberFormat="1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4" fillId="28" borderId="4" xfId="0" applyFont="1" applyFill="1" applyBorder="1" applyAlignment="1">
      <alignment horizontal="center" vertical="center"/>
    </xf>
    <xf numFmtId="0" fontId="24" fillId="28" borderId="35" xfId="0" applyFont="1" applyFill="1" applyBorder="1" applyAlignment="1">
      <alignment horizontal="center" vertical="center"/>
    </xf>
    <xf numFmtId="2" fontId="21" fillId="22" borderId="8" xfId="0" applyNumberFormat="1" applyFont="1" applyFill="1" applyBorder="1" applyAlignment="1">
      <alignment horizontal="center" vertical="center"/>
    </xf>
    <xf numFmtId="2" fontId="21" fillId="22" borderId="10" xfId="0" applyNumberFormat="1" applyFont="1" applyFill="1" applyBorder="1" applyAlignment="1">
      <alignment horizontal="center" vertical="center"/>
    </xf>
    <xf numFmtId="0" fontId="21" fillId="14" borderId="6" xfId="0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165" fontId="21" fillId="0" borderId="7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3" fillId="30" borderId="6" xfId="0" applyFont="1" applyFill="1" applyBorder="1" applyAlignment="1">
      <alignment horizontal="center" vertical="center" wrapText="1"/>
    </xf>
    <xf numFmtId="0" fontId="25" fillId="31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2" fontId="21" fillId="0" borderId="0" xfId="0" applyNumberFormat="1" applyFont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25" fillId="32" borderId="6" xfId="0" applyFont="1" applyFill="1" applyBorder="1" applyAlignment="1">
      <alignment horizontal="center" vertical="center" wrapText="1"/>
    </xf>
    <xf numFmtId="0" fontId="3" fillId="33" borderId="46" xfId="0" applyFont="1" applyFill="1" applyBorder="1" applyAlignment="1">
      <alignment horizontal="center" vertical="center" wrapText="1"/>
    </xf>
    <xf numFmtId="0" fontId="25" fillId="33" borderId="47" xfId="0" applyFont="1" applyFill="1" applyBorder="1" applyAlignment="1">
      <alignment horizontal="center" vertical="center" wrapText="1"/>
    </xf>
    <xf numFmtId="0" fontId="3" fillId="34" borderId="48" xfId="0" applyFont="1" applyFill="1" applyBorder="1" applyAlignment="1">
      <alignment horizontal="center" vertical="center" wrapText="1"/>
    </xf>
    <xf numFmtId="0" fontId="3" fillId="34" borderId="49" xfId="0" applyFont="1" applyFill="1" applyBorder="1" applyAlignment="1">
      <alignment horizontal="center" vertical="center" wrapText="1"/>
    </xf>
    <xf numFmtId="1" fontId="3" fillId="0" borderId="48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7" xfId="0" applyFont="1" applyBorder="1" applyAlignment="1"/>
    <xf numFmtId="0" fontId="21" fillId="0" borderId="1" xfId="0" applyFont="1" applyBorder="1" applyAlignment="1"/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" fillId="33" borderId="50" xfId="0" applyFont="1" applyFill="1" applyBorder="1" applyAlignment="1">
      <alignment horizontal="center" vertical="center" wrapText="1"/>
    </xf>
    <xf numFmtId="0" fontId="3" fillId="33" borderId="52" xfId="0" applyFont="1" applyFill="1" applyBorder="1" applyAlignment="1">
      <alignment horizontal="center" vertical="center" wrapText="1"/>
    </xf>
    <xf numFmtId="0" fontId="3" fillId="33" borderId="49" xfId="0" applyFont="1" applyFill="1" applyBorder="1" applyAlignment="1">
      <alignment horizontal="center" vertical="center" wrapText="1"/>
    </xf>
    <xf numFmtId="0" fontId="3" fillId="33" borderId="53" xfId="0" applyFont="1" applyFill="1" applyBorder="1" applyAlignment="1">
      <alignment horizontal="center" vertical="center" wrapText="1"/>
    </xf>
    <xf numFmtId="3" fontId="25" fillId="34" borderId="52" xfId="0" applyNumberFormat="1" applyFont="1" applyFill="1" applyBorder="1" applyAlignment="1">
      <alignment horizontal="center" vertical="center" wrapText="1"/>
    </xf>
    <xf numFmtId="0" fontId="25" fillId="34" borderId="49" xfId="0" applyFont="1" applyFill="1" applyBorder="1" applyAlignment="1">
      <alignment horizontal="center" vertical="center" wrapText="1"/>
    </xf>
    <xf numFmtId="0" fontId="25" fillId="34" borderId="53" xfId="0" applyFont="1" applyFill="1" applyBorder="1" applyAlignment="1">
      <alignment horizontal="center" vertical="center" wrapText="1"/>
    </xf>
    <xf numFmtId="3" fontId="0" fillId="0" borderId="52" xfId="0" applyNumberFormat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3" fontId="0" fillId="0" borderId="54" xfId="0" applyNumberForma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25" fillId="35" borderId="6" xfId="0" applyFont="1" applyFill="1" applyBorder="1" applyAlignment="1">
      <alignment horizontal="center" vertical="center" wrapText="1"/>
    </xf>
    <xf numFmtId="0" fontId="25" fillId="36" borderId="6" xfId="0" applyFont="1" applyFill="1" applyBorder="1" applyAlignment="1">
      <alignment horizontal="center" vertical="center" wrapText="1"/>
    </xf>
    <xf numFmtId="0" fontId="0" fillId="27" borderId="1" xfId="0" applyFill="1" applyBorder="1" applyAlignment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2" fontId="1" fillId="18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3" fillId="27" borderId="1" xfId="0" applyFont="1" applyFill="1" applyBorder="1" applyAlignment="1"/>
    <xf numFmtId="2" fontId="1" fillId="9" borderId="1" xfId="0" applyNumberFormat="1" applyFont="1" applyFill="1" applyBorder="1" applyAlignment="1">
      <alignment horizontal="center" vertical="center" wrapText="1"/>
    </xf>
    <xf numFmtId="2" fontId="3" fillId="27" borderId="1" xfId="0" applyNumberFormat="1" applyFont="1" applyFill="1" applyBorder="1" applyAlignment="1"/>
    <xf numFmtId="2" fontId="0" fillId="27" borderId="1" xfId="0" applyNumberFormat="1" applyFill="1" applyBorder="1" applyAlignment="1"/>
    <xf numFmtId="0" fontId="0" fillId="5" borderId="1" xfId="0" applyFill="1" applyBorder="1" applyAlignment="1"/>
    <xf numFmtId="0" fontId="0" fillId="5" borderId="0" xfId="0" applyFill="1" applyAlignment="1"/>
    <xf numFmtId="0" fontId="3" fillId="18" borderId="0" xfId="0" applyFont="1" applyFill="1" applyAlignment="1">
      <alignment horizontal="center" vertical="center" wrapText="1"/>
    </xf>
    <xf numFmtId="0" fontId="14" fillId="0" borderId="1" xfId="0" applyFont="1" applyBorder="1" applyAlignment="1"/>
    <xf numFmtId="1" fontId="0" fillId="0" borderId="1" xfId="0" applyNumberFormat="1" applyBorder="1" applyAlignment="1"/>
    <xf numFmtId="0" fontId="0" fillId="24" borderId="1" xfId="0" applyFill="1" applyBorder="1" applyAlignment="1">
      <alignment horizontal="center"/>
    </xf>
    <xf numFmtId="0" fontId="0" fillId="27" borderId="14" xfId="0" applyFont="1" applyFill="1" applyBorder="1" applyAlignment="1">
      <alignment horizontal="center"/>
    </xf>
    <xf numFmtId="0" fontId="0" fillId="27" borderId="1" xfId="0" applyFont="1" applyFill="1" applyBorder="1" applyAlignment="1">
      <alignment horizontal="center"/>
    </xf>
    <xf numFmtId="0" fontId="14" fillId="27" borderId="45" xfId="0" applyFont="1" applyFill="1" applyBorder="1" applyAlignment="1">
      <alignment horizontal="center"/>
    </xf>
    <xf numFmtId="0" fontId="14" fillId="27" borderId="56" xfId="0" applyFont="1" applyFill="1" applyBorder="1" applyAlignment="1">
      <alignment horizontal="center"/>
    </xf>
    <xf numFmtId="0" fontId="14" fillId="27" borderId="57" xfId="0" applyFon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 vertical="center" wrapText="1"/>
    </xf>
    <xf numFmtId="0" fontId="0" fillId="0" borderId="12" xfId="0" applyBorder="1" applyAlignment="1"/>
    <xf numFmtId="2" fontId="0" fillId="0" borderId="12" xfId="0" applyNumberFormat="1" applyBorder="1" applyAlignment="1"/>
    <xf numFmtId="2" fontId="0" fillId="41" borderId="1" xfId="0" applyNumberFormat="1" applyFill="1" applyBorder="1" applyAlignment="1"/>
    <xf numFmtId="167" fontId="3" fillId="24" borderId="1" xfId="0" applyNumberFormat="1" applyFont="1" applyFill="1" applyBorder="1" applyAlignment="1">
      <alignment horizontal="center" vertical="center" wrapText="1"/>
    </xf>
    <xf numFmtId="2" fontId="0" fillId="24" borderId="1" xfId="0" applyNumberFormat="1" applyFill="1" applyBorder="1" applyAlignment="1"/>
    <xf numFmtId="167" fontId="0" fillId="0" borderId="1" xfId="0" applyNumberFormat="1" applyBorder="1" applyAlignment="1"/>
    <xf numFmtId="167" fontId="3" fillId="42" borderId="1" xfId="0" applyNumberFormat="1" applyFont="1" applyFill="1" applyBorder="1" applyAlignment="1">
      <alignment horizontal="center" vertical="center" wrapText="1"/>
    </xf>
    <xf numFmtId="167" fontId="0" fillId="42" borderId="1" xfId="0" applyNumberFormat="1" applyFill="1" applyBorder="1" applyAlignment="1">
      <alignment horizontal="center" vertical="center" wrapText="1"/>
    </xf>
    <xf numFmtId="2" fontId="0" fillId="42" borderId="1" xfId="0" applyNumberFormat="1" applyFill="1" applyBorder="1" applyAlignment="1"/>
    <xf numFmtId="167" fontId="0" fillId="0" borderId="12" xfId="0" applyNumberFormat="1" applyBorder="1" applyAlignment="1">
      <alignment horizontal="center" vertical="center" wrapText="1"/>
    </xf>
    <xf numFmtId="167" fontId="0" fillId="0" borderId="12" xfId="0" applyNumberFormat="1" applyBorder="1" applyAlignment="1"/>
    <xf numFmtId="4" fontId="0" fillId="0" borderId="0" xfId="0" applyNumberFormat="1" applyAlignment="1"/>
    <xf numFmtId="2" fontId="0" fillId="16" borderId="12" xfId="0" applyNumberFormat="1" applyFill="1" applyBorder="1" applyAlignment="1"/>
    <xf numFmtId="0" fontId="0" fillId="43" borderId="1" xfId="0" applyFont="1" applyFill="1" applyBorder="1" applyAlignment="1"/>
    <xf numFmtId="164" fontId="0" fillId="41" borderId="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44" borderId="12" xfId="0" applyNumberFormat="1" applyFill="1" applyBorder="1" applyAlignment="1">
      <alignment horizontal="center" vertical="center"/>
    </xf>
    <xf numFmtId="2" fontId="0" fillId="41" borderId="1" xfId="0" applyNumberFormat="1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2" fontId="0" fillId="41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2" fontId="0" fillId="44" borderId="1" xfId="0" applyNumberFormat="1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1" borderId="34" xfId="0" applyFill="1" applyBorder="1" applyAlignment="1">
      <alignment horizontal="center" vertical="center"/>
    </xf>
    <xf numFmtId="164" fontId="0" fillId="44" borderId="1" xfId="0" applyNumberFormat="1" applyFill="1" applyBorder="1" applyAlignment="1">
      <alignment horizontal="center"/>
    </xf>
    <xf numFmtId="0" fontId="13" fillId="0" borderId="0" xfId="0" applyFont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Alignment="1">
      <alignment horizontal="center" wrapText="1"/>
    </xf>
    <xf numFmtId="0" fontId="0" fillId="0" borderId="0" xfId="0" applyFont="1" applyFill="1" applyBorder="1" applyAlignment="1"/>
    <xf numFmtId="0" fontId="0" fillId="0" borderId="0" xfId="0" applyBorder="1" applyAlignment="1"/>
    <xf numFmtId="2" fontId="0" fillId="0" borderId="0" xfId="0" applyNumberFormat="1" applyBorder="1" applyAlignment="1"/>
    <xf numFmtId="0" fontId="0" fillId="0" borderId="0" xfId="0" applyFont="1" applyBorder="1" applyAlignment="1"/>
    <xf numFmtId="0" fontId="0" fillId="0" borderId="59" xfId="0" applyBorder="1" applyAlignment="1"/>
    <xf numFmtId="0" fontId="0" fillId="0" borderId="59" xfId="0" applyBorder="1" applyAlignment="1">
      <alignment horizontal="center" vertical="center" wrapText="1"/>
    </xf>
    <xf numFmtId="0" fontId="0" fillId="0" borderId="59" xfId="0" applyFont="1" applyBorder="1" applyAlignment="1">
      <alignment horizontal="center" wrapText="1"/>
    </xf>
    <xf numFmtId="2" fontId="0" fillId="0" borderId="59" xfId="0" applyNumberFormat="1" applyBorder="1" applyAlignment="1">
      <alignment horizontal="center" wrapText="1"/>
    </xf>
    <xf numFmtId="0" fontId="0" fillId="0" borderId="59" xfId="0" applyFont="1" applyBorder="1" applyAlignment="1">
      <alignment horizontal="center"/>
    </xf>
    <xf numFmtId="2" fontId="0" fillId="0" borderId="59" xfId="0" applyNumberFormat="1" applyBorder="1" applyAlignment="1"/>
    <xf numFmtId="0" fontId="0" fillId="0" borderId="63" xfId="0" applyBorder="1" applyAlignment="1"/>
    <xf numFmtId="0" fontId="0" fillId="0" borderId="64" xfId="0" applyBorder="1" applyAlignment="1">
      <alignment horizontal="center" vertical="center" wrapText="1"/>
    </xf>
    <xf numFmtId="0" fontId="0" fillId="0" borderId="63" xfId="0" applyFont="1" applyBorder="1" applyAlignment="1">
      <alignment horizontal="center" wrapText="1"/>
    </xf>
    <xf numFmtId="0" fontId="0" fillId="0" borderId="63" xfId="0" applyFont="1" applyBorder="1" applyAlignment="1">
      <alignment horizontal="center"/>
    </xf>
    <xf numFmtId="2" fontId="0" fillId="0" borderId="64" xfId="0" applyNumberFormat="1" applyBorder="1" applyAlignment="1"/>
    <xf numFmtId="0" fontId="0" fillId="0" borderId="65" xfId="0" applyFont="1" applyBorder="1" applyAlignment="1">
      <alignment horizontal="center"/>
    </xf>
    <xf numFmtId="2" fontId="0" fillId="0" borderId="66" xfId="0" applyNumberFormat="1" applyBorder="1" applyAlignment="1"/>
    <xf numFmtId="2" fontId="0" fillId="0" borderId="67" xfId="0" applyNumberFormat="1" applyBorder="1" applyAlignment="1"/>
    <xf numFmtId="0" fontId="0" fillId="0" borderId="68" xfId="0" applyBorder="1" applyAlignment="1">
      <alignment horizontal="center" vertical="center" wrapText="1"/>
    </xf>
    <xf numFmtId="2" fontId="0" fillId="0" borderId="68" xfId="0" applyNumberFormat="1" applyBorder="1" applyAlignment="1">
      <alignment horizontal="center" wrapText="1"/>
    </xf>
    <xf numFmtId="2" fontId="0" fillId="0" borderId="68" xfId="0" applyNumberFormat="1" applyBorder="1" applyAlignment="1"/>
    <xf numFmtId="2" fontId="0" fillId="0" borderId="69" xfId="0" applyNumberFormat="1" applyBorder="1" applyAlignment="1"/>
    <xf numFmtId="0" fontId="0" fillId="0" borderId="59" xfId="0" applyFont="1" applyBorder="1" applyAlignment="1">
      <alignment wrapText="1"/>
    </xf>
    <xf numFmtId="0" fontId="0" fillId="0" borderId="63" xfId="0" applyBorder="1" applyAlignment="1">
      <alignment horizontal="center" vertical="center" wrapText="1"/>
    </xf>
    <xf numFmtId="0" fontId="0" fillId="0" borderId="63" xfId="0" applyFont="1" applyBorder="1" applyAlignment="1">
      <alignment wrapText="1"/>
    </xf>
    <xf numFmtId="0" fontId="0" fillId="0" borderId="65" xfId="0" applyFont="1" applyBorder="1" applyAlignment="1">
      <alignment wrapText="1"/>
    </xf>
    <xf numFmtId="0" fontId="0" fillId="0" borderId="66" xfId="0" applyBorder="1" applyAlignment="1"/>
    <xf numFmtId="0" fontId="0" fillId="0" borderId="0" xfId="0" applyFill="1" applyAlignment="1"/>
    <xf numFmtId="2" fontId="0" fillId="0" borderId="59" xfId="0" applyNumberFormat="1" applyBorder="1" applyAlignment="1">
      <alignment wrapText="1"/>
    </xf>
    <xf numFmtId="2" fontId="0" fillId="0" borderId="72" xfId="0" applyNumberFormat="1" applyBorder="1" applyAlignment="1">
      <alignment wrapText="1"/>
    </xf>
    <xf numFmtId="0" fontId="0" fillId="0" borderId="72" xfId="0" applyBorder="1" applyAlignment="1"/>
    <xf numFmtId="2" fontId="0" fillId="0" borderId="72" xfId="0" applyNumberFormat="1" applyBorder="1" applyAlignment="1"/>
    <xf numFmtId="0" fontId="0" fillId="46" borderId="72" xfId="0" applyFont="1" applyFill="1" applyBorder="1" applyAlignment="1">
      <alignment wrapText="1"/>
    </xf>
    <xf numFmtId="0" fontId="0" fillId="46" borderId="59" xfId="0" applyFont="1" applyFill="1" applyBorder="1" applyAlignment="1">
      <alignment wrapText="1"/>
    </xf>
    <xf numFmtId="0" fontId="0" fillId="46" borderId="12" xfId="0" applyFill="1" applyBorder="1" applyAlignment="1"/>
    <xf numFmtId="0" fontId="0" fillId="46" borderId="1" xfId="0" applyFill="1" applyBorder="1" applyAlignment="1"/>
    <xf numFmtId="0" fontId="0" fillId="46" borderId="72" xfId="0" applyFill="1" applyBorder="1" applyAlignment="1"/>
    <xf numFmtId="0" fontId="0" fillId="46" borderId="59" xfId="0" applyFill="1" applyBorder="1" applyAlignment="1"/>
    <xf numFmtId="0" fontId="0" fillId="46" borderId="1" xfId="0" applyFont="1" applyFill="1" applyBorder="1" applyAlignment="1">
      <alignment wrapText="1"/>
    </xf>
    <xf numFmtId="0" fontId="0" fillId="0" borderId="59" xfId="0" applyFont="1" applyBorder="1" applyAlignment="1"/>
    <xf numFmtId="0" fontId="28" fillId="0" borderId="0" xfId="0" applyFont="1"/>
    <xf numFmtId="164" fontId="0" fillId="0" borderId="59" xfId="0" applyNumberFormat="1" applyBorder="1" applyAlignment="1">
      <alignment wrapText="1"/>
    </xf>
    <xf numFmtId="0" fontId="0" fillId="8" borderId="59" xfId="0" applyFill="1" applyBorder="1" applyAlignment="1">
      <alignment horizontal="center" vertical="center"/>
    </xf>
    <xf numFmtId="2" fontId="0" fillId="8" borderId="59" xfId="0" applyNumberFormat="1" applyFill="1" applyBorder="1" applyAlignment="1">
      <alignment horizontal="center" vertical="center"/>
    </xf>
    <xf numFmtId="0" fontId="0" fillId="48" borderId="59" xfId="0" applyFill="1" applyBorder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7" borderId="23" xfId="0" applyFill="1" applyBorder="1" applyAlignment="1">
      <alignment vertical="top" wrapText="1"/>
    </xf>
    <xf numFmtId="0" fontId="0" fillId="7" borderId="25" xfId="0" applyFill="1" applyBorder="1" applyAlignment="1">
      <alignment vertical="top" wrapText="1"/>
    </xf>
    <xf numFmtId="0" fontId="0" fillId="0" borderId="21" xfId="0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/>
    </xf>
    <xf numFmtId="0" fontId="24" fillId="15" borderId="6" xfId="0" applyFont="1" applyFill="1" applyBorder="1" applyAlignment="1">
      <alignment horizontal="center" vertical="center"/>
    </xf>
    <xf numFmtId="0" fontId="0" fillId="44" borderId="1" xfId="0" applyFill="1" applyBorder="1" applyAlignment="1">
      <alignment horizontal="center"/>
    </xf>
    <xf numFmtId="0" fontId="0" fillId="41" borderId="1" xfId="0" applyFont="1" applyFill="1" applyBorder="1" applyAlignment="1">
      <alignment horizontal="center"/>
    </xf>
    <xf numFmtId="0" fontId="29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0" fillId="0" borderId="0" xfId="0" applyFont="1" applyAlignment="1">
      <alignment wrapText="1"/>
    </xf>
    <xf numFmtId="2" fontId="0" fillId="0" borderId="59" xfId="0" applyNumberFormat="1" applyBorder="1" applyAlignment="1">
      <alignment horizontal="center" vertical="center"/>
    </xf>
    <xf numFmtId="0" fontId="0" fillId="45" borderId="70" xfId="0" applyFont="1" applyFill="1" applyBorder="1" applyAlignment="1">
      <alignment horizontal="center" wrapText="1"/>
    </xf>
    <xf numFmtId="0" fontId="0" fillId="45" borderId="71" xfId="0" applyFont="1" applyFill="1" applyBorder="1" applyAlignment="1">
      <alignment horizontal="center" wrapText="1"/>
    </xf>
    <xf numFmtId="0" fontId="0" fillId="46" borderId="59" xfId="0" applyFill="1" applyBorder="1" applyAlignment="1">
      <alignment horizontal="center" vertical="center"/>
    </xf>
    <xf numFmtId="0" fontId="0" fillId="45" borderId="73" xfId="0" applyFont="1" applyFill="1" applyBorder="1" applyAlignment="1">
      <alignment horizontal="center" wrapText="1"/>
    </xf>
    <xf numFmtId="0" fontId="0" fillId="45" borderId="74" xfId="0" applyFont="1" applyFill="1" applyBorder="1" applyAlignment="1">
      <alignment horizontal="center" wrapText="1"/>
    </xf>
    <xf numFmtId="0" fontId="0" fillId="46" borderId="76" xfId="0" applyFont="1" applyFill="1" applyBorder="1" applyAlignment="1">
      <alignment horizontal="center"/>
    </xf>
    <xf numFmtId="0" fontId="0" fillId="46" borderId="77" xfId="0" applyFont="1" applyFill="1" applyBorder="1" applyAlignment="1">
      <alignment horizontal="center"/>
    </xf>
    <xf numFmtId="0" fontId="0" fillId="46" borderId="78" xfId="0" applyFont="1" applyFill="1" applyBorder="1" applyAlignment="1">
      <alignment horizontal="center"/>
    </xf>
    <xf numFmtId="0" fontId="0" fillId="45" borderId="79" xfId="0" applyFont="1" applyFill="1" applyBorder="1" applyAlignment="1">
      <alignment horizontal="center"/>
    </xf>
    <xf numFmtId="0" fontId="0" fillId="45" borderId="80" xfId="0" applyFont="1" applyFill="1" applyBorder="1" applyAlignment="1">
      <alignment horizontal="center"/>
    </xf>
    <xf numFmtId="0" fontId="0" fillId="45" borderId="81" xfId="0" applyFont="1" applyFill="1" applyBorder="1" applyAlignment="1">
      <alignment horizontal="center"/>
    </xf>
    <xf numFmtId="0" fontId="0" fillId="45" borderId="65" xfId="0" applyFont="1" applyFill="1" applyBorder="1" applyAlignment="1">
      <alignment horizontal="center" wrapText="1"/>
    </xf>
    <xf numFmtId="0" fontId="0" fillId="45" borderId="67" xfId="0" applyFont="1" applyFill="1" applyBorder="1" applyAlignment="1">
      <alignment horizontal="center" wrapText="1"/>
    </xf>
    <xf numFmtId="2" fontId="0" fillId="46" borderId="82" xfId="0" applyNumberFormat="1" applyFill="1" applyBorder="1" applyAlignment="1">
      <alignment horizontal="center" vertical="center"/>
    </xf>
    <xf numFmtId="2" fontId="0" fillId="46" borderId="59" xfId="0" applyNumberForma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45" borderId="60" xfId="0" applyFont="1" applyFill="1" applyBorder="1" applyAlignment="1">
      <alignment horizontal="center"/>
    </xf>
    <xf numFmtId="0" fontId="0" fillId="45" borderId="61" xfId="0" applyFont="1" applyFill="1" applyBorder="1" applyAlignment="1">
      <alignment horizontal="center"/>
    </xf>
    <xf numFmtId="0" fontId="0" fillId="45" borderId="62" xfId="0" applyFont="1" applyFill="1" applyBorder="1" applyAlignment="1">
      <alignment horizontal="center"/>
    </xf>
    <xf numFmtId="0" fontId="0" fillId="45" borderId="70" xfId="0" applyFont="1" applyFill="1" applyBorder="1" applyAlignment="1">
      <alignment horizontal="center"/>
    </xf>
    <xf numFmtId="0" fontId="0" fillId="45" borderId="75" xfId="0" applyFont="1" applyFill="1" applyBorder="1" applyAlignment="1">
      <alignment horizontal="center"/>
    </xf>
    <xf numFmtId="0" fontId="0" fillId="45" borderId="71" xfId="0" applyFont="1" applyFill="1" applyBorder="1" applyAlignment="1">
      <alignment horizontal="center"/>
    </xf>
    <xf numFmtId="0" fontId="0" fillId="45" borderId="84" xfId="0" applyFont="1" applyFill="1" applyBorder="1" applyAlignment="1">
      <alignment horizontal="center"/>
    </xf>
    <xf numFmtId="0" fontId="0" fillId="45" borderId="73" xfId="0" applyFont="1" applyFill="1" applyBorder="1" applyAlignment="1">
      <alignment horizontal="center" vertical="center" wrapText="1"/>
    </xf>
    <xf numFmtId="0" fontId="0" fillId="45" borderId="74" xfId="0" applyFont="1" applyFill="1" applyBorder="1" applyAlignment="1">
      <alignment horizontal="center" vertical="center" wrapText="1"/>
    </xf>
    <xf numFmtId="2" fontId="0" fillId="0" borderId="59" xfId="0" applyNumberFormat="1" applyFill="1" applyBorder="1" applyAlignment="1">
      <alignment horizontal="center"/>
    </xf>
    <xf numFmtId="2" fontId="0" fillId="0" borderId="64" xfId="0" applyNumberFormat="1" applyFill="1" applyBorder="1" applyAlignment="1">
      <alignment horizontal="center"/>
    </xf>
    <xf numFmtId="2" fontId="0" fillId="0" borderId="66" xfId="0" applyNumberFormat="1" applyFill="1" applyBorder="1" applyAlignment="1">
      <alignment horizontal="center"/>
    </xf>
    <xf numFmtId="2" fontId="0" fillId="0" borderId="67" xfId="0" applyNumberFormat="1" applyFill="1" applyBorder="1" applyAlignment="1">
      <alignment horizontal="center"/>
    </xf>
    <xf numFmtId="164" fontId="0" fillId="0" borderId="66" xfId="0" applyNumberFormat="1" applyBorder="1" applyAlignment="1">
      <alignment horizontal="center"/>
    </xf>
    <xf numFmtId="164" fontId="0" fillId="0" borderId="67" xfId="0" applyNumberFormat="1" applyBorder="1" applyAlignment="1">
      <alignment horizontal="center"/>
    </xf>
    <xf numFmtId="0" fontId="0" fillId="46" borderId="63" xfId="0" applyFont="1" applyFill="1" applyBorder="1" applyAlignment="1">
      <alignment horizontal="center" vertical="center"/>
    </xf>
    <xf numFmtId="0" fontId="0" fillId="46" borderId="65" xfId="0" applyFont="1" applyFill="1" applyBorder="1" applyAlignment="1">
      <alignment horizontal="center" vertical="center"/>
    </xf>
    <xf numFmtId="0" fontId="0" fillId="47" borderId="63" xfId="0" applyFont="1" applyFill="1" applyBorder="1" applyAlignment="1">
      <alignment horizontal="center" vertical="center"/>
    </xf>
    <xf numFmtId="0" fontId="0" fillId="47" borderId="65" xfId="0" applyFont="1" applyFill="1" applyBorder="1" applyAlignment="1">
      <alignment horizontal="center" vertical="center"/>
    </xf>
    <xf numFmtId="164" fontId="0" fillId="0" borderId="59" xfId="0" applyNumberFormat="1" applyBorder="1" applyAlignment="1">
      <alignment horizontal="center"/>
    </xf>
    <xf numFmtId="164" fontId="0" fillId="0" borderId="64" xfId="0" applyNumberFormat="1" applyBorder="1" applyAlignment="1">
      <alignment horizontal="center"/>
    </xf>
    <xf numFmtId="0" fontId="0" fillId="45" borderId="83" xfId="0" applyFont="1" applyFill="1" applyBorder="1" applyAlignment="1">
      <alignment horizontal="center"/>
    </xf>
    <xf numFmtId="0" fontId="2" fillId="45" borderId="70" xfId="0" applyFont="1" applyFill="1" applyBorder="1" applyAlignment="1">
      <alignment horizontal="center"/>
    </xf>
    <xf numFmtId="0" fontId="2" fillId="45" borderId="75" xfId="0" applyFont="1" applyFill="1" applyBorder="1" applyAlignment="1">
      <alignment horizontal="center"/>
    </xf>
    <xf numFmtId="0" fontId="2" fillId="45" borderId="71" xfId="0" applyFont="1" applyFill="1" applyBorder="1" applyAlignment="1">
      <alignment horizontal="center"/>
    </xf>
    <xf numFmtId="0" fontId="0" fillId="46" borderId="63" xfId="0" applyFont="1" applyFill="1" applyBorder="1" applyAlignment="1">
      <alignment horizontal="center"/>
    </xf>
    <xf numFmtId="0" fontId="0" fillId="46" borderId="59" xfId="0" applyFont="1" applyFill="1" applyBorder="1" applyAlignment="1">
      <alignment horizontal="center"/>
    </xf>
    <xf numFmtId="0" fontId="0" fillId="46" borderId="64" xfId="0" applyFont="1" applyFill="1" applyBorder="1" applyAlignment="1">
      <alignment horizontal="center"/>
    </xf>
    <xf numFmtId="0" fontId="0" fillId="46" borderId="68" xfId="0" applyFont="1" applyFill="1" applyBorder="1" applyAlignment="1">
      <alignment horizontal="center"/>
    </xf>
    <xf numFmtId="0" fontId="0" fillId="46" borderId="72" xfId="0" applyFont="1" applyFill="1" applyBorder="1" applyAlignment="1">
      <alignment horizontal="center"/>
    </xf>
    <xf numFmtId="0" fontId="0" fillId="45" borderId="60" xfId="0" applyFont="1" applyFill="1" applyBorder="1" applyAlignment="1">
      <alignment horizontal="center" vertical="center"/>
    </xf>
    <xf numFmtId="0" fontId="0" fillId="45" borderId="61" xfId="0" applyFont="1" applyFill="1" applyBorder="1" applyAlignment="1">
      <alignment horizontal="center" vertical="center"/>
    </xf>
    <xf numFmtId="0" fontId="0" fillId="45" borderId="62" xfId="0" applyFont="1" applyFill="1" applyBorder="1" applyAlignment="1">
      <alignment horizontal="center" vertical="center"/>
    </xf>
    <xf numFmtId="0" fontId="0" fillId="45" borderId="70" xfId="0" applyFont="1" applyFill="1" applyBorder="1" applyAlignment="1">
      <alignment horizontal="center" vertical="center" wrapText="1"/>
    </xf>
    <xf numFmtId="0" fontId="0" fillId="45" borderId="75" xfId="0" applyFont="1" applyFill="1" applyBorder="1" applyAlignment="1">
      <alignment horizontal="center" vertical="center" wrapText="1"/>
    </xf>
    <xf numFmtId="0" fontId="0" fillId="45" borderId="71" xfId="0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/>
    </xf>
    <xf numFmtId="0" fontId="2" fillId="4" borderId="59" xfId="0" applyFont="1" applyFill="1" applyBorder="1" applyAlignment="1">
      <alignment horizontal="center"/>
    </xf>
    <xf numFmtId="0" fontId="2" fillId="4" borderId="64" xfId="0" applyFont="1" applyFill="1" applyBorder="1" applyAlignment="1">
      <alignment horizontal="center"/>
    </xf>
    <xf numFmtId="0" fontId="0" fillId="4" borderId="59" xfId="0" applyFont="1" applyFill="1" applyBorder="1" applyAlignment="1">
      <alignment horizontal="center"/>
    </xf>
    <xf numFmtId="0" fontId="0" fillId="4" borderId="64" xfId="0" applyFont="1" applyFill="1" applyBorder="1" applyAlignment="1">
      <alignment horizontal="center"/>
    </xf>
    <xf numFmtId="0" fontId="0" fillId="45" borderId="63" xfId="0" applyFont="1" applyFill="1" applyBorder="1" applyAlignment="1">
      <alignment horizontal="center" vertical="center"/>
    </xf>
    <xf numFmtId="0" fontId="0" fillId="45" borderId="64" xfId="0" applyFont="1" applyFill="1" applyBorder="1" applyAlignment="1">
      <alignment horizontal="center" vertical="center"/>
    </xf>
    <xf numFmtId="0" fontId="0" fillId="45" borderId="63" xfId="0" applyFont="1" applyFill="1" applyBorder="1" applyAlignment="1">
      <alignment horizontal="center"/>
    </xf>
    <xf numFmtId="0" fontId="0" fillId="45" borderId="64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1" fillId="12" borderId="17" xfId="0" applyFont="1" applyFill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3" fillId="0" borderId="59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3" fillId="0" borderId="0" xfId="0" applyFont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/>
    </xf>
    <xf numFmtId="0" fontId="0" fillId="15" borderId="1" xfId="0" applyFont="1" applyFill="1" applyBorder="1" applyAlignment="1">
      <alignment wrapText="1"/>
    </xf>
    <xf numFmtId="0" fontId="0" fillId="3" borderId="1" xfId="0" applyFont="1" applyFill="1" applyBorder="1" applyAlignment="1">
      <alignment horizontal="center"/>
    </xf>
    <xf numFmtId="0" fontId="0" fillId="15" borderId="2" xfId="0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7" borderId="1" xfId="0" applyFont="1" applyFill="1" applyBorder="1" applyAlignment="1">
      <alignment horizontal="center" wrapText="1"/>
    </xf>
    <xf numFmtId="2" fontId="0" fillId="8" borderId="1" xfId="0" applyNumberForma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17" fillId="7" borderId="1" xfId="0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5" borderId="3" xfId="0" applyFont="1" applyFill="1" applyBorder="1" applyAlignment="1">
      <alignment horizontal="center"/>
    </xf>
    <xf numFmtId="0" fontId="14" fillId="15" borderId="21" xfId="0" applyFont="1" applyFill="1" applyBorder="1" applyAlignment="1">
      <alignment horizontal="center"/>
    </xf>
    <xf numFmtId="0" fontId="14" fillId="0" borderId="23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21" xfId="0" applyFont="1" applyBorder="1" applyAlignment="1">
      <alignment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13" borderId="21" xfId="0" applyFont="1" applyFill="1" applyBorder="1" applyAlignment="1">
      <alignment horizontal="center" vertical="center" wrapText="1"/>
    </xf>
    <xf numFmtId="0" fontId="0" fillId="7" borderId="21" xfId="0" applyFont="1" applyFill="1" applyBorder="1" applyAlignment="1">
      <alignment horizontal="center" vertical="center" wrapText="1"/>
    </xf>
    <xf numFmtId="164" fontId="0" fillId="8" borderId="21" xfId="0" applyNumberFormat="1" applyFill="1" applyBorder="1" applyAlignment="1">
      <alignment horizontal="center" vertical="center" wrapText="1"/>
    </xf>
    <xf numFmtId="0" fontId="0" fillId="7" borderId="21" xfId="0" applyFont="1" applyFill="1" applyBorder="1" applyAlignment="1">
      <alignment vertical="center" wrapText="1"/>
    </xf>
    <xf numFmtId="0" fontId="20" fillId="7" borderId="3" xfId="0" applyFont="1" applyFill="1" applyBorder="1" applyAlignment="1">
      <alignment vertical="center" wrapText="1"/>
    </xf>
    <xf numFmtId="0" fontId="0" fillId="7" borderId="25" xfId="0" applyFont="1" applyFill="1" applyBorder="1" applyAlignment="1">
      <alignment vertical="center" wrapText="1"/>
    </xf>
    <xf numFmtId="0" fontId="0" fillId="7" borderId="25" xfId="0" applyFill="1" applyBorder="1" applyAlignment="1">
      <alignment vertical="top" wrapText="1"/>
    </xf>
    <xf numFmtId="0" fontId="0" fillId="7" borderId="23" xfId="0" applyFill="1" applyBorder="1" applyAlignment="1">
      <alignment vertical="top" wrapText="1"/>
    </xf>
    <xf numFmtId="0" fontId="0" fillId="7" borderId="3" xfId="0" applyFont="1" applyFill="1" applyBorder="1" applyAlignment="1">
      <alignment vertical="center" wrapText="1"/>
    </xf>
    <xf numFmtId="165" fontId="0" fillId="8" borderId="21" xfId="0" applyNumberFormat="1" applyFill="1" applyBorder="1" applyAlignment="1">
      <alignment horizontal="center" vertical="center" wrapText="1"/>
    </xf>
    <xf numFmtId="0" fontId="0" fillId="7" borderId="23" xfId="0" applyFont="1" applyFill="1" applyBorder="1" applyAlignment="1">
      <alignment vertical="center" wrapText="1"/>
    </xf>
    <xf numFmtId="0" fontId="14" fillId="7" borderId="21" xfId="0" applyFont="1" applyFill="1" applyBorder="1" applyAlignment="1">
      <alignment vertical="center" wrapText="1"/>
    </xf>
    <xf numFmtId="0" fontId="19" fillId="0" borderId="43" xfId="0" applyFont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 indent="5"/>
    </xf>
    <xf numFmtId="0" fontId="0" fillId="21" borderId="21" xfId="0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/>
    </xf>
    <xf numFmtId="0" fontId="22" fillId="23" borderId="14" xfId="0" applyFont="1" applyFill="1" applyBorder="1" applyAlignment="1">
      <alignment horizontal="center" vertical="center"/>
    </xf>
    <xf numFmtId="0" fontId="23" fillId="24" borderId="14" xfId="0" applyFont="1" applyFill="1" applyBorder="1" applyAlignment="1">
      <alignment horizontal="center" vertical="center"/>
    </xf>
    <xf numFmtId="0" fontId="23" fillId="25" borderId="14" xfId="0" applyFont="1" applyFill="1" applyBorder="1" applyAlignment="1">
      <alignment horizontal="center" vertical="center"/>
    </xf>
    <xf numFmtId="0" fontId="23" fillId="26" borderId="14" xfId="0" applyFont="1" applyFill="1" applyBorder="1" applyAlignment="1">
      <alignment horizontal="center" vertical="center"/>
    </xf>
    <xf numFmtId="0" fontId="23" fillId="27" borderId="14" xfId="0" applyFont="1" applyFill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2" fontId="21" fillId="8" borderId="12" xfId="0" applyNumberFormat="1" applyFont="1" applyFill="1" applyBorder="1" applyAlignment="1">
      <alignment horizontal="center" vertical="center"/>
    </xf>
    <xf numFmtId="2" fontId="21" fillId="8" borderId="14" xfId="0" applyNumberFormat="1" applyFont="1" applyFill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165" fontId="21" fillId="8" borderId="12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8" fillId="16" borderId="0" xfId="0" applyFont="1" applyFill="1" applyBorder="1" applyAlignment="1">
      <alignment horizontal="center"/>
    </xf>
    <xf numFmtId="0" fontId="25" fillId="29" borderId="6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7" xfId="0" applyFont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/>
    </xf>
    <xf numFmtId="0" fontId="25" fillId="32" borderId="1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/>
    </xf>
    <xf numFmtId="0" fontId="24" fillId="15" borderId="6" xfId="0" applyFont="1" applyFill="1" applyBorder="1" applyAlignment="1">
      <alignment horizontal="center" vertical="center"/>
    </xf>
    <xf numFmtId="0" fontId="3" fillId="33" borderId="51" xfId="0" applyFont="1" applyFill="1" applyBorder="1" applyAlignment="1">
      <alignment horizontal="center" vertical="center" wrapText="1"/>
    </xf>
    <xf numFmtId="0" fontId="25" fillId="35" borderId="1" xfId="0" applyFont="1" applyFill="1" applyBorder="1" applyAlignment="1">
      <alignment horizontal="center" vertical="center" wrapText="1"/>
    </xf>
    <xf numFmtId="0" fontId="25" fillId="36" borderId="1" xfId="0" applyFont="1" applyFill="1" applyBorder="1" applyAlignment="1">
      <alignment horizontal="center" vertical="center" wrapText="1"/>
    </xf>
    <xf numFmtId="0" fontId="25" fillId="37" borderId="3" xfId="0" applyFont="1" applyFill="1" applyBorder="1" applyAlignment="1">
      <alignment horizontal="center" vertical="center" wrapText="1"/>
    </xf>
    <xf numFmtId="0" fontId="25" fillId="25" borderId="3" xfId="0" applyFont="1" applyFill="1" applyBorder="1" applyAlignment="1">
      <alignment horizontal="center" vertical="center" wrapText="1"/>
    </xf>
    <xf numFmtId="0" fontId="25" fillId="38" borderId="26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27" fillId="39" borderId="58" xfId="0" applyFont="1" applyFill="1" applyBorder="1" applyAlignment="1">
      <alignment horizontal="center"/>
    </xf>
    <xf numFmtId="0" fontId="14" fillId="40" borderId="58" xfId="0" applyFont="1" applyFill="1" applyBorder="1" applyAlignment="1">
      <alignment horizontal="center"/>
    </xf>
    <xf numFmtId="0" fontId="14" fillId="2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4" borderId="1" xfId="0" applyFill="1" applyBorder="1" applyAlignment="1">
      <alignment horizontal="center"/>
    </xf>
    <xf numFmtId="0" fontId="0" fillId="41" borderId="1" xfId="0" applyFont="1" applyFill="1" applyBorder="1" applyAlignment="1">
      <alignment horizontal="center"/>
    </xf>
    <xf numFmtId="0" fontId="0" fillId="41" borderId="1" xfId="0" applyFont="1" applyFill="1" applyBorder="1" applyAlignment="1">
      <alignment horizontal="center" vertical="center"/>
    </xf>
    <xf numFmtId="0" fontId="12" fillId="4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C5E0B4"/>
      <rgbColor rgb="FFEDEDED"/>
      <rgbColor rgb="FFFFFF00"/>
      <rgbColor rgb="FFD9D9D9"/>
      <rgbColor rgb="FFA9D18E"/>
      <rgbColor rgb="FFE7E6E6"/>
      <rgbColor rgb="FFD0CECE"/>
      <rgbColor rgb="FF040C28"/>
      <rgbColor rgb="FFBF9000"/>
      <rgbColor rgb="FFD6DCE5"/>
      <rgbColor rgb="FF44546A"/>
      <rgbColor rgb="FFBFBFBF"/>
      <rgbColor rgb="FF4F81BD"/>
      <rgbColor rgb="FF8FAADC"/>
      <rgbColor rgb="FF7030A0"/>
      <rgbColor rgb="FFFFFACD"/>
      <rgbColor rgb="FFDEEBF7"/>
      <rgbColor rgb="FFDAE3F3"/>
      <rgbColor rgb="FFED7D31"/>
      <rgbColor rgb="FF2E75B6"/>
      <rgbColor rgb="FFBDD7EE"/>
      <rgbColor rgb="FFFFF2CC"/>
      <rgbColor rgb="FFDBDBDB"/>
      <rgbColor rgb="FFFFD966"/>
      <rgbColor rgb="FFB4C7E7"/>
      <rgbColor rgb="FFD9E1F2"/>
      <rgbColor rgb="FFEEECE1"/>
      <rgbColor rgb="FF548DD4"/>
      <rgbColor rgb="FFF2F2F2"/>
      <rgbColor rgb="FF95B3D7"/>
      <rgbColor rgb="FFE2EFDA"/>
      <rgbColor rgb="FFE2F0D9"/>
      <rgbColor rgb="FFFFE699"/>
      <rgbColor rgb="FF9DC3E6"/>
      <rgbColor rgb="FFF4B183"/>
      <rgbColor rgb="FFAFABAB"/>
      <rgbColor rgb="FFF8CBAD"/>
      <rgbColor rgb="FF4472C4"/>
      <rgbColor rgb="FF7CE0F8"/>
      <rgbColor rgb="FF9BBB59"/>
      <rgbColor rgb="FFFFC000"/>
      <rgbColor rgb="FFFFAE0D"/>
      <rgbColor rgb="FFE36C0A"/>
      <rgbColor rgb="FF595959"/>
      <rgbColor rgb="FFA5A5A5"/>
      <rgbColor rgb="FF3F3F3F"/>
      <rgbColor rgb="FF70AD47"/>
      <rgbColor rgb="FFDBE5F1"/>
      <rgbColor rgb="FF4A442A"/>
      <rgbColor rgb="FF885500"/>
      <rgbColor rgb="FFC9C9C9"/>
      <rgbColor rgb="FF2F5597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</a:rPr>
              <a:t>NACA 2415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1</c:f>
              <c:numCache>
                <c:formatCode>General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1.54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9"/>
                <c:pt idx="0">
                  <c:v>8.3999999999999995E-3</c:v>
                </c:pt>
                <c:pt idx="1">
                  <c:v>1.11055743548E-2</c:v>
                </c:pt>
                <c:pt idx="2">
                  <c:v>1.8422297419199998E-2</c:v>
                </c:pt>
                <c:pt idx="3">
                  <c:v>2.8950169193199999E-2</c:v>
                </c:pt>
                <c:pt idx="4">
                  <c:v>4.3989189676800003E-2</c:v>
                </c:pt>
                <c:pt idx="5">
                  <c:v>6.6139358869999998E-2</c:v>
                </c:pt>
                <c:pt idx="6">
                  <c:v>9.2600676772799997E-2</c:v>
                </c:pt>
                <c:pt idx="7">
                  <c:v>0.1276731433852</c:v>
                </c:pt>
                <c:pt idx="8">
                  <c:v>0.178272503496092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D-4FEA-BE90-29E640A00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59288"/>
        <c:axId val="27555793"/>
      </c:scatterChart>
      <c:valAx>
        <c:axId val="53059288"/>
        <c:scaling>
          <c:orientation val="minMax"/>
          <c:min val="-0.2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Lift Coefficient, 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7555793"/>
        <c:crosses val="autoZero"/>
        <c:crossBetween val="midCat"/>
      </c:valAx>
      <c:valAx>
        <c:axId val="27555793"/>
        <c:scaling>
          <c:orientation val="minMax"/>
          <c:min val="-0.0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Drag Coefficient, CDD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059288"/>
        <c:crosses val="autoZero"/>
        <c:crossBetween val="midCat"/>
        <c:majorUnit val="0.0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7'!$Z$60:$Z$62</c:f>
              <c:numCache>
                <c:formatCode>0.0000</c:formatCode>
                <c:ptCount val="3"/>
                <c:pt idx="0">
                  <c:v>26.606108501698511</c:v>
                </c:pt>
                <c:pt idx="1">
                  <c:v>30.486833771185601</c:v>
                </c:pt>
                <c:pt idx="2">
                  <c:v>32.467657191956455</c:v>
                </c:pt>
              </c:numCache>
            </c:numRef>
          </c:xVal>
          <c:yVal>
            <c:numRef>
              <c:f>'ACT 7'!$AA$60:$AA$62</c:f>
              <c:numCache>
                <c:formatCode>General</c:formatCode>
                <c:ptCount val="3"/>
                <c:pt idx="0">
                  <c:v>1162.1556087292699</c:v>
                </c:pt>
                <c:pt idx="1">
                  <c:v>1542.2685888328101</c:v>
                </c:pt>
                <c:pt idx="2">
                  <c:v>1421.92962009091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C-4E77-A2CD-AC623A289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41589"/>
        <c:axId val="20180974"/>
      </c:scatterChart>
      <c:valAx>
        <c:axId val="9694158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</a:rPr>
                  <a:t>% M.A.C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0180974"/>
        <c:crosses val="autoZero"/>
        <c:crossBetween val="midCat"/>
      </c:valAx>
      <c:valAx>
        <c:axId val="20180974"/>
        <c:scaling>
          <c:orientation val="minMax"/>
          <c:max val="18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l-GR"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0" strike="noStrike" spc="-1">
                    <a:solidFill>
                      <a:srgbClr val="000000"/>
                    </a:solidFill>
                    <a:latin typeface="Calibri"/>
                  </a:rPr>
                  <a:t>ΣWX (kgf-m)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9694158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2600" cap="rnd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10'!$F$7:$F$21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10'!$J$7:$J$21</c:f>
              <c:numCache>
                <c:formatCode>0.00</c:formatCode>
                <c:ptCount val="15"/>
                <c:pt idx="0">
                  <c:v>30.573317058051732</c:v>
                </c:pt>
                <c:pt idx="1">
                  <c:v>31.425319772263663</c:v>
                </c:pt>
                <c:pt idx="2">
                  <c:v>34.502899666966258</c:v>
                </c:pt>
                <c:pt idx="3">
                  <c:v>39.725506931906104</c:v>
                </c:pt>
                <c:pt idx="4">
                  <c:v>47.124168790920358</c:v>
                </c:pt>
                <c:pt idx="5">
                  <c:v>56.790772668259258</c:v>
                </c:pt>
                <c:pt idx="6">
                  <c:v>68.852707771747262</c:v>
                </c:pt>
                <c:pt idx="7">
                  <c:v>83.459210560639207</c:v>
                </c:pt>
                <c:pt idx="8">
                  <c:v>100.77356215582365</c:v>
                </c:pt>
                <c:pt idx="9">
                  <c:v>120.96840678594509</c:v>
                </c:pt>
                <c:pt idx="10">
                  <c:v>144.22282581623011</c:v>
                </c:pt>
                <c:pt idx="11">
                  <c:v>170.7204444730221</c:v>
                </c:pt>
                <c:pt idx="12">
                  <c:v>200.64816966013768</c:v>
                </c:pt>
                <c:pt idx="13">
                  <c:v>234.19532635953189</c:v>
                </c:pt>
                <c:pt idx="14">
                  <c:v>271.55305311176289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15-4A3D-B162-127002855D88}"/>
            </c:ext>
          </c:extLst>
        </c:ser>
        <c:ser>
          <c:idx val="1"/>
          <c:order val="1"/>
          <c:tx>
            <c:strRef>
              <c:f>"5,000 ft"</c:f>
              <c:strCache>
                <c:ptCount val="1"/>
                <c:pt idx="0">
                  <c:v>5,000 ft</c:v>
                </c:pt>
              </c:strCache>
            </c:strRef>
          </c:tx>
          <c:spPr>
            <a:ln w="12600" cap="rnd">
              <a:solidFill>
                <a:srgbClr val="B4C7E7"/>
              </a:solidFill>
              <a:round/>
            </a:ln>
          </c:spPr>
          <c:marker>
            <c:symbol val="circle"/>
            <c:size val="5"/>
            <c:spPr>
              <a:solidFill>
                <a:srgbClr val="B4C7E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10'!$L$7:$L$21</c:f>
              <c:numCache>
                <c:formatCode>0.00</c:formatCode>
                <c:ptCount val="15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  <c:pt idx="7">
                  <c:v>140.04952280653112</c:v>
                </c:pt>
                <c:pt idx="8">
                  <c:v>150.82256302241814</c:v>
                </c:pt>
                <c:pt idx="9">
                  <c:v>161.59560323830513</c:v>
                </c:pt>
                <c:pt idx="10">
                  <c:v>172.36864345419215</c:v>
                </c:pt>
                <c:pt idx="11">
                  <c:v>183.14168367007915</c:v>
                </c:pt>
                <c:pt idx="12">
                  <c:v>193.91472388596617</c:v>
                </c:pt>
                <c:pt idx="13">
                  <c:v>204.68776410185316</c:v>
                </c:pt>
                <c:pt idx="14">
                  <c:v>215.46080431774018</c:v>
                </c:pt>
              </c:numCache>
            </c:numRef>
          </c:xVal>
          <c:yVal>
            <c:numRef>
              <c:f>'ACT 10'!$M$7:$M$21</c:f>
              <c:numCache>
                <c:formatCode>0.00</c:formatCode>
                <c:ptCount val="15"/>
                <c:pt idx="0">
                  <c:v>32.936757419945558</c:v>
                </c:pt>
                <c:pt idx="1">
                  <c:v>33.854623370370561</c:v>
                </c:pt>
                <c:pt idx="2">
                  <c:v>37.170112567694197</c:v>
                </c:pt>
                <c:pt idx="3">
                  <c:v>42.796448377392259</c:v>
                </c:pt>
                <c:pt idx="4">
                  <c:v>50.767056552483254</c:v>
                </c:pt>
                <c:pt idx="5">
                  <c:v>61.180927784645377</c:v>
                </c:pt>
                <c:pt idx="6">
                  <c:v>74.175298979774922</c:v>
                </c:pt>
                <c:pt idx="7">
                  <c:v>89.910943175594795</c:v>
                </c:pt>
                <c:pt idx="8">
                  <c:v>108.56376378028774</c:v>
                </c:pt>
                <c:pt idx="9">
                  <c:v>130.31975111567655</c:v>
                </c:pt>
                <c:pt idx="10">
                  <c:v>155.37183025671141</c:v>
                </c:pt>
                <c:pt idx="11">
                  <c:v>183.91782139819722</c:v>
                </c:pt>
                <c:pt idx="12">
                  <c:v>216.1590800992783</c:v>
                </c:pt>
                <c:pt idx="13">
                  <c:v>252.299566924402</c:v>
                </c:pt>
                <c:pt idx="14">
                  <c:v>292.54519619199226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15-4A3D-B162-127002855D88}"/>
            </c:ext>
          </c:extLst>
        </c:ser>
        <c:ser>
          <c:idx val="2"/>
          <c:order val="2"/>
          <c:tx>
            <c:strRef>
              <c:f>"10,000 ft"</c:f>
              <c:strCache>
                <c:ptCount val="1"/>
                <c:pt idx="0">
                  <c:v>10,000 ft</c:v>
                </c:pt>
              </c:strCache>
            </c:strRef>
          </c:tx>
          <c:spPr>
            <a:ln w="1260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10'!$N$7:$N$21</c:f>
              <c:numCache>
                <c:formatCode>0.00</c:formatCode>
                <c:ptCount val="15"/>
                <c:pt idx="0">
                  <c:v>69.823142530029941</c:v>
                </c:pt>
                <c:pt idx="1">
                  <c:v>81.460332951701602</c:v>
                </c:pt>
                <c:pt idx="2">
                  <c:v>93.097523373373249</c:v>
                </c:pt>
                <c:pt idx="3">
                  <c:v>104.73471379504491</c:v>
                </c:pt>
                <c:pt idx="4">
                  <c:v>116.37190421671657</c:v>
                </c:pt>
                <c:pt idx="5">
                  <c:v>128.00909463838823</c:v>
                </c:pt>
                <c:pt idx="6">
                  <c:v>139.64628506005988</c:v>
                </c:pt>
                <c:pt idx="7">
                  <c:v>151.28347548173153</c:v>
                </c:pt>
                <c:pt idx="8">
                  <c:v>162.9206659034032</c:v>
                </c:pt>
                <c:pt idx="9">
                  <c:v>174.55785632507485</c:v>
                </c:pt>
                <c:pt idx="10">
                  <c:v>186.1950467467465</c:v>
                </c:pt>
                <c:pt idx="11">
                  <c:v>197.83223716841817</c:v>
                </c:pt>
                <c:pt idx="12">
                  <c:v>209.46942759008982</c:v>
                </c:pt>
                <c:pt idx="13">
                  <c:v>221.10661801176147</c:v>
                </c:pt>
                <c:pt idx="14">
                  <c:v>232.74380843343314</c:v>
                </c:pt>
              </c:numCache>
            </c:numRef>
          </c:xVal>
          <c:yVal>
            <c:numRef>
              <c:f>'ACT 10'!$O$7:$O$21</c:f>
              <c:numCache>
                <c:formatCode>0.00</c:formatCode>
                <c:ptCount val="15"/>
                <c:pt idx="0">
                  <c:v>35.578751242669028</c:v>
                </c:pt>
                <c:pt idx="1">
                  <c:v>36.570243025175564</c:v>
                </c:pt>
                <c:pt idx="2">
                  <c:v>40.151681352431794</c:v>
                </c:pt>
                <c:pt idx="3">
                  <c:v>46.229328876402874</c:v>
                </c:pt>
                <c:pt idx="4">
                  <c:v>54.839292568293679</c:v>
                </c:pt>
                <c:pt idx="5">
                  <c:v>66.088503573439922</c:v>
                </c:pt>
                <c:pt idx="6">
                  <c:v>80.125207138753495</c:v>
                </c:pt>
                <c:pt idx="7">
                  <c:v>97.123072573654852</c:v>
                </c:pt>
                <c:pt idx="8">
                  <c:v>117.27211322774843</c:v>
                </c:pt>
                <c:pt idx="9">
                  <c:v>140.77323847742809</c:v>
                </c:pt>
                <c:pt idx="10">
                  <c:v>167.83484871750528</c:v>
                </c:pt>
                <c:pt idx="11">
                  <c:v>198.67063212049808</c:v>
                </c:pt>
                <c:pt idx="12">
                  <c:v>233.49809580949037</c:v>
                </c:pt>
                <c:pt idx="13">
                  <c:v>272.53756087114124</c:v>
                </c:pt>
                <c:pt idx="14">
                  <c:v>316.0114588647902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15-4A3D-B162-127002855D88}"/>
            </c:ext>
          </c:extLst>
        </c:ser>
        <c:ser>
          <c:idx val="3"/>
          <c:order val="3"/>
          <c:tx>
            <c:strRef>
              <c:f>"15,000 ft"</c:f>
              <c:strCache>
                <c:ptCount val="1"/>
                <c:pt idx="0">
                  <c:v>15,000 ft</c:v>
                </c:pt>
              </c:strCache>
            </c:strRef>
          </c:tx>
          <c:spPr>
            <a:ln w="12600" cap="rnd">
              <a:solidFill>
                <a:srgbClr val="AFABAB"/>
              </a:solidFill>
              <a:round/>
            </a:ln>
          </c:spPr>
          <c:marker>
            <c:symbol val="circle"/>
            <c:size val="5"/>
            <c:spPr>
              <a:solidFill>
                <a:srgbClr val="AFABA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10'!$P$7:$P$21</c:f>
              <c:numCache>
                <c:formatCode>0.00</c:formatCode>
                <c:ptCount val="15"/>
                <c:pt idx="0">
                  <c:v>75.643030714142327</c:v>
                </c:pt>
                <c:pt idx="1">
                  <c:v>88.250202499832724</c:v>
                </c:pt>
                <c:pt idx="2">
                  <c:v>100.85737428552311</c:v>
                </c:pt>
                <c:pt idx="3">
                  <c:v>113.46454607121349</c:v>
                </c:pt>
                <c:pt idx="4">
                  <c:v>126.07171785690389</c:v>
                </c:pt>
                <c:pt idx="5">
                  <c:v>138.67888964259427</c:v>
                </c:pt>
                <c:pt idx="6">
                  <c:v>151.28606142828465</c:v>
                </c:pt>
                <c:pt idx="7">
                  <c:v>163.89323321397504</c:v>
                </c:pt>
                <c:pt idx="8">
                  <c:v>176.50040499966545</c:v>
                </c:pt>
                <c:pt idx="9">
                  <c:v>189.10757678535583</c:v>
                </c:pt>
                <c:pt idx="10">
                  <c:v>201.71474857104621</c:v>
                </c:pt>
                <c:pt idx="11">
                  <c:v>214.3219203567366</c:v>
                </c:pt>
                <c:pt idx="12">
                  <c:v>226.92909214242698</c:v>
                </c:pt>
                <c:pt idx="13">
                  <c:v>239.53626392811739</c:v>
                </c:pt>
                <c:pt idx="14">
                  <c:v>252.14343571380778</c:v>
                </c:pt>
              </c:numCache>
            </c:numRef>
          </c:xVal>
          <c:yVal>
            <c:numRef>
              <c:f>'ACT 10'!$Q$7:$Q$21</c:f>
              <c:numCache>
                <c:formatCode>0.00</c:formatCode>
                <c:ptCount val="15"/>
                <c:pt idx="0">
                  <c:v>38.544306020923649</c:v>
                </c:pt>
                <c:pt idx="1">
                  <c:v>39.618440478918075</c:v>
                </c:pt>
                <c:pt idx="2">
                  <c:v>43.498398320588329</c:v>
                </c:pt>
                <c:pt idx="3">
                  <c:v>50.082629016417457</c:v>
                </c:pt>
                <c:pt idx="4">
                  <c:v>59.410249120500268</c:v>
                </c:pt>
                <c:pt idx="5">
                  <c:v>71.597102687083492</c:v>
                </c:pt>
                <c:pt idx="6">
                  <c:v>86.803791478835748</c:v>
                </c:pt>
                <c:pt idx="7">
                  <c:v>105.21846046360839</c:v>
                </c:pt>
                <c:pt idx="8">
                  <c:v>127.04696095544166</c:v>
                </c:pt>
                <c:pt idx="9">
                  <c:v>152.50694849916846</c:v>
                </c:pt>
                <c:pt idx="10">
                  <c:v>181.82419404829156</c:v>
                </c:pt>
                <c:pt idx="11">
                  <c:v>215.23019708008067</c:v>
                </c:pt>
                <c:pt idx="12">
                  <c:v>252.96059433897059</c:v>
                </c:pt>
                <c:pt idx="13">
                  <c:v>295.25407108204428</c:v>
                </c:pt>
                <c:pt idx="14">
                  <c:v>342.35159895087008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15-4A3D-B162-127002855D88}"/>
            </c:ext>
          </c:extLst>
        </c:ser>
        <c:ser>
          <c:idx val="4"/>
          <c:order val="4"/>
          <c:tx>
            <c:strRef>
              <c:f>"20,000 ft"</c:f>
              <c:strCache>
                <c:ptCount val="1"/>
                <c:pt idx="0">
                  <c:v>20,000 ft</c:v>
                </c:pt>
              </c:strCache>
            </c:strRef>
          </c:tx>
          <c:spPr>
            <a:ln w="1260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10'!$R$7:$R$21</c:f>
              <c:numCache>
                <c:formatCode>0.00</c:formatCode>
                <c:ptCount val="15"/>
                <c:pt idx="0">
                  <c:v>82.204678830324283</c:v>
                </c:pt>
                <c:pt idx="1">
                  <c:v>95.905458635378324</c:v>
                </c:pt>
                <c:pt idx="2">
                  <c:v>109.60623844043236</c:v>
                </c:pt>
                <c:pt idx="3">
                  <c:v>123.30701824548642</c:v>
                </c:pt>
                <c:pt idx="4">
                  <c:v>137.00779805054046</c:v>
                </c:pt>
                <c:pt idx="5">
                  <c:v>150.70857785559451</c:v>
                </c:pt>
                <c:pt idx="6">
                  <c:v>164.40935766064857</c:v>
                </c:pt>
                <c:pt idx="7">
                  <c:v>178.11013746570259</c:v>
                </c:pt>
                <c:pt idx="8">
                  <c:v>191.81091727075665</c:v>
                </c:pt>
                <c:pt idx="9">
                  <c:v>205.5116970758107</c:v>
                </c:pt>
                <c:pt idx="10">
                  <c:v>219.21247688086473</c:v>
                </c:pt>
                <c:pt idx="11">
                  <c:v>232.91325668591878</c:v>
                </c:pt>
                <c:pt idx="12">
                  <c:v>246.61403649097284</c:v>
                </c:pt>
                <c:pt idx="13">
                  <c:v>260.31481629602689</c:v>
                </c:pt>
                <c:pt idx="14">
                  <c:v>274.01559610108092</c:v>
                </c:pt>
              </c:numCache>
            </c:numRef>
          </c:xVal>
          <c:yVal>
            <c:numRef>
              <c:f>'ACT 10'!$S$7:$S$21</c:f>
              <c:numCache>
                <c:formatCode>0.00</c:formatCode>
                <c:ptCount val="15"/>
                <c:pt idx="0">
                  <c:v>41.887828492246953</c:v>
                </c:pt>
                <c:pt idx="1">
                  <c:v>43.055138650319563</c:v>
                </c:pt>
                <c:pt idx="2">
                  <c:v>47.271663097297726</c:v>
                </c:pt>
                <c:pt idx="3">
                  <c:v>54.42704231181937</c:v>
                </c:pt>
                <c:pt idx="4">
                  <c:v>64.563786010059985</c:v>
                </c:pt>
                <c:pt idx="5">
                  <c:v>77.807787128670171</c:v>
                </c:pt>
                <c:pt idx="6">
                  <c:v>94.33357881624427</c:v>
                </c:pt>
                <c:pt idx="7">
                  <c:v>114.34562665949591</c:v>
                </c:pt>
                <c:pt idx="8">
                  <c:v>138.06763852678674</c:v>
                </c:pt>
                <c:pt idx="9">
                  <c:v>165.73615047424394</c:v>
                </c:pt>
                <c:pt idx="10">
                  <c:v>197.59651793708329</c:v>
                </c:pt>
                <c:pt idx="11">
                  <c:v>233.90032179458319</c:v>
                </c:pt>
                <c:pt idx="12">
                  <c:v>274.90363908006725</c:v>
                </c:pt>
                <c:pt idx="13">
                  <c:v>320.8658597824716</c:v>
                </c:pt>
                <c:pt idx="14">
                  <c:v>372.04885860744099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15-4A3D-B162-127002855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72855"/>
        <c:axId val="72499109"/>
      </c:scatterChart>
      <c:valAx>
        <c:axId val="50672855"/>
        <c:scaling>
          <c:orientation val="minMax"/>
        </c:scaling>
        <c:delete val="0"/>
        <c:axPos val="b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499109"/>
        <c:crosses val="autoZero"/>
        <c:crossBetween val="midCat"/>
      </c:valAx>
      <c:valAx>
        <c:axId val="72499109"/>
        <c:scaling>
          <c:orientation val="minMax"/>
        </c:scaling>
        <c:delete val="0"/>
        <c:axPos val="l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THRUST HORSEPOWER REQUIRED, THP REQD</a:t>
                </a:r>
              </a:p>
            </c:rich>
          </c:tx>
          <c:layout>
            <c:manualLayout>
              <c:xMode val="edge"/>
              <c:yMode val="edge"/>
              <c:x val="1.11024425373582E-2"/>
              <c:y val="0.320476328783038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67285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2600" cap="rnd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11'!$F$7:$F$21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11'!$J$7:$J$21</c:f>
              <c:numCache>
                <c:formatCode>0.00</c:formatCode>
                <c:ptCount val="15"/>
                <c:pt idx="0">
                  <c:v>30.573317058051732</c:v>
                </c:pt>
                <c:pt idx="1">
                  <c:v>31.425319772263663</c:v>
                </c:pt>
                <c:pt idx="2">
                  <c:v>34.502899666966258</c:v>
                </c:pt>
                <c:pt idx="3">
                  <c:v>39.725506931906104</c:v>
                </c:pt>
                <c:pt idx="4">
                  <c:v>47.124168790920358</c:v>
                </c:pt>
                <c:pt idx="5">
                  <c:v>56.790772668259258</c:v>
                </c:pt>
                <c:pt idx="6">
                  <c:v>68.852707771747262</c:v>
                </c:pt>
                <c:pt idx="7">
                  <c:v>83.459210560639207</c:v>
                </c:pt>
                <c:pt idx="8">
                  <c:v>100.77356215582365</c:v>
                </c:pt>
                <c:pt idx="9">
                  <c:v>120.96840678594509</c:v>
                </c:pt>
                <c:pt idx="10">
                  <c:v>144.22282581623011</c:v>
                </c:pt>
                <c:pt idx="11">
                  <c:v>170.7204444730221</c:v>
                </c:pt>
                <c:pt idx="12">
                  <c:v>200.64816966013768</c:v>
                </c:pt>
                <c:pt idx="13">
                  <c:v>234.19532635953189</c:v>
                </c:pt>
                <c:pt idx="14">
                  <c:v>271.55305311176289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8F-4240-ABAA-114C1D43B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3473"/>
        <c:axId val="19945069"/>
      </c:scatterChart>
      <c:valAx>
        <c:axId val="7593473"/>
        <c:scaling>
          <c:orientation val="minMax"/>
        </c:scaling>
        <c:delete val="0"/>
        <c:axPos val="b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945069"/>
        <c:crosses val="autoZero"/>
        <c:crossBetween val="midCat"/>
      </c:valAx>
      <c:valAx>
        <c:axId val="19945069"/>
        <c:scaling>
          <c:orientation val="minMax"/>
        </c:scaling>
        <c:delete val="0"/>
        <c:axPos val="l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PH" sz="11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100" b="1" strike="noStrike" spc="-1">
                    <a:solidFill>
                      <a:srgbClr val="000000"/>
                    </a:solidFill>
                    <a:latin typeface="Calibri"/>
                  </a:rPr>
                  <a:t>THRUST HORSEPOWER REQUIRED, THP REQD</a:t>
                </a:r>
              </a:p>
            </c:rich>
          </c:tx>
          <c:layout>
            <c:manualLayout>
              <c:xMode val="edge"/>
              <c:yMode val="edge"/>
              <c:x val="1.11016743508857E-2"/>
              <c:y val="0.32045889101338398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34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9.4895880488908999E-2"/>
          <c:y val="7.2329569613077002E-2"/>
          <c:w val="0.86911498415572697"/>
          <c:h val="0.87910426607454994"/>
        </c:manualLayout>
      </c:layout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11'!$V$8:$V$22</c:f>
              <c:numCache>
                <c:formatCode>0.00</c:formatCode>
                <c:ptCount val="15"/>
                <c:pt idx="0">
                  <c:v>50.825225100000004</c:v>
                </c:pt>
                <c:pt idx="1">
                  <c:v>57.963884550000003</c:v>
                </c:pt>
                <c:pt idx="2">
                  <c:v>65.642616000000004</c:v>
                </c:pt>
                <c:pt idx="3">
                  <c:v>72.523259249999995</c:v>
                </c:pt>
                <c:pt idx="4">
                  <c:v>79.958794499999982</c:v>
                </c:pt>
                <c:pt idx="5">
                  <c:v>86.234241600000004</c:v>
                </c:pt>
                <c:pt idx="6">
                  <c:v>90.631860149999994</c:v>
                </c:pt>
                <c:pt idx="7">
                  <c:v>94.469277824999992</c:v>
                </c:pt>
                <c:pt idx="8">
                  <c:v>97.255308150000019</c:v>
                </c:pt>
                <c:pt idx="9">
                  <c:v>99.349058249999999</c:v>
                </c:pt>
                <c:pt idx="10">
                  <c:v>101.35736617500001</c:v>
                </c:pt>
                <c:pt idx="11">
                  <c:v>103.04257860000001</c:v>
                </c:pt>
                <c:pt idx="12">
                  <c:v>104.349933675</c:v>
                </c:pt>
                <c:pt idx="13">
                  <c:v>105.2288289</c:v>
                </c:pt>
                <c:pt idx="14">
                  <c:v>105.051492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E-48B0-865A-955F2CE3E850}"/>
            </c:ext>
          </c:extLst>
        </c:ser>
        <c:ser>
          <c:idx val="1"/>
          <c:order val="1"/>
          <c:tx>
            <c:strRef>
              <c:f>"h = 5000 ft"</c:f>
              <c:strCache>
                <c:ptCount val="1"/>
                <c:pt idx="0">
                  <c:v>h = 5000 ft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11'!$AE$8:$AE$22</c:f>
              <c:numCache>
                <c:formatCode>0.00</c:formatCode>
                <c:ptCount val="15"/>
                <c:pt idx="0">
                  <c:v>41.714932390170006</c:v>
                </c:pt>
                <c:pt idx="1">
                  <c:v>47.77658188992001</c:v>
                </c:pt>
                <c:pt idx="2">
                  <c:v>54.09255512992501</c:v>
                </c:pt>
                <c:pt idx="3">
                  <c:v>59.473087434149974</c:v>
                </c:pt>
                <c:pt idx="4">
                  <c:v>64.672149708074983</c:v>
                </c:pt>
                <c:pt idx="5">
                  <c:v>70.195547897279994</c:v>
                </c:pt>
                <c:pt idx="6">
                  <c:v>74.105137211820008</c:v>
                </c:pt>
                <c:pt idx="7">
                  <c:v>77.363902066034996</c:v>
                </c:pt>
                <c:pt idx="8">
                  <c:v>79.701362063895004</c:v>
                </c:pt>
                <c:pt idx="9">
                  <c:v>81.513355271887491</c:v>
                </c:pt>
                <c:pt idx="10">
                  <c:v>82.561501410862491</c:v>
                </c:pt>
                <c:pt idx="11">
                  <c:v>83.754385252199995</c:v>
                </c:pt>
                <c:pt idx="12">
                  <c:v>85.166548562159988</c:v>
                </c:pt>
                <c:pt idx="13">
                  <c:v>85.988520612344985</c:v>
                </c:pt>
                <c:pt idx="14">
                  <c:v>85.935023069220009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E-48B0-865A-955F2CE3E850}"/>
            </c:ext>
          </c:extLst>
        </c:ser>
        <c:ser>
          <c:idx val="2"/>
          <c:order val="2"/>
          <c:tx>
            <c:strRef>
              <c:f>"h = 10 000 ft"</c:f>
              <c:strCache>
                <c:ptCount val="1"/>
                <c:pt idx="0">
                  <c:v>h = 10 000 ft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11'!$AE$30:$AE$44</c:f>
              <c:numCache>
                <c:formatCode>0.00</c:formatCode>
                <c:ptCount val="15"/>
                <c:pt idx="0">
                  <c:v>33.75009272407501</c:v>
                </c:pt>
                <c:pt idx="1">
                  <c:v>39.253988523993769</c:v>
                </c:pt>
                <c:pt idx="2">
                  <c:v>43.726204606500005</c:v>
                </c:pt>
                <c:pt idx="3">
                  <c:v>48.492458688374988</c:v>
                </c:pt>
                <c:pt idx="4">
                  <c:v>52.921719059624991</c:v>
                </c:pt>
                <c:pt idx="5">
                  <c:v>56.919686077800009</c:v>
                </c:pt>
                <c:pt idx="6">
                  <c:v>59.549936319900013</c:v>
                </c:pt>
                <c:pt idx="7">
                  <c:v>61.941376424362517</c:v>
                </c:pt>
                <c:pt idx="8">
                  <c:v>63.755419746768766</c:v>
                </c:pt>
                <c:pt idx="9">
                  <c:v>64.621913949450018</c:v>
                </c:pt>
                <c:pt idx="10">
                  <c:v>65.687775822337514</c:v>
                </c:pt>
                <c:pt idx="11">
                  <c:v>66.074681033887515</c:v>
                </c:pt>
                <c:pt idx="12">
                  <c:v>66.826548332212482</c:v>
                </c:pt>
                <c:pt idx="13">
                  <c:v>67.302958461862488</c:v>
                </c:pt>
                <c:pt idx="14">
                  <c:v>67.317746441400018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E-48B0-865A-955F2CE3E850}"/>
            </c:ext>
          </c:extLst>
        </c:ser>
        <c:ser>
          <c:idx val="3"/>
          <c:order val="3"/>
          <c:tx>
            <c:strRef>
              <c:f>"h = 15 000 ft"</c:f>
              <c:strCache>
                <c:ptCount val="1"/>
                <c:pt idx="0">
                  <c:v>h = 15 000 ft</c:v>
                </c:pt>
              </c:strCache>
            </c:strRef>
          </c:tx>
          <c:spPr>
            <a:ln w="19080" cap="rnd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11'!$AE$51:$AE$65</c:f>
              <c:numCache>
                <c:formatCode>0.00</c:formatCode>
                <c:ptCount val="15"/>
                <c:pt idx="0">
                  <c:v>24.601130271900001</c:v>
                </c:pt>
                <c:pt idx="1">
                  <c:v>28.685828323425003</c:v>
                </c:pt>
                <c:pt idx="2">
                  <c:v>31.820585808375004</c:v>
                </c:pt>
                <c:pt idx="3">
                  <c:v>35.103082798875</c:v>
                </c:pt>
                <c:pt idx="4">
                  <c:v>38.312662240124986</c:v>
                </c:pt>
                <c:pt idx="5">
                  <c:v>40.754862766799995</c:v>
                </c:pt>
                <c:pt idx="6">
                  <c:v>42.753606045150001</c:v>
                </c:pt>
                <c:pt idx="7">
                  <c:v>44.138860659075</c:v>
                </c:pt>
                <c:pt idx="8">
                  <c:v>44.667441180862497</c:v>
                </c:pt>
                <c:pt idx="9">
                  <c:v>45.304132657874987</c:v>
                </c:pt>
                <c:pt idx="10">
                  <c:v>45.639994992637504</c:v>
                </c:pt>
                <c:pt idx="11">
                  <c:v>45.687970528200005</c:v>
                </c:pt>
                <c:pt idx="12">
                  <c:v>45.824978001074996</c:v>
                </c:pt>
                <c:pt idx="13">
                  <c:v>45.597630105299984</c:v>
                </c:pt>
                <c:pt idx="14">
                  <c:v>45.264353425199999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E-48B0-865A-955F2CE3E850}"/>
            </c:ext>
          </c:extLst>
        </c:ser>
        <c:ser>
          <c:idx val="4"/>
          <c:order val="4"/>
          <c:tx>
            <c:strRef>
              <c:f>"h = 20 000 ft"</c:f>
              <c:strCache>
                <c:ptCount val="1"/>
                <c:pt idx="0">
                  <c:v>h = 20 000 ft</c:v>
                </c:pt>
              </c:strCache>
            </c:strRef>
          </c:tx>
          <c:spPr>
            <a:ln w="19080" cap="rnd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11'!$M$8:$M$22</c:f>
              <c:numCache>
                <c:formatCode>General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11'!$AE$72:$AE$86</c:f>
              <c:numCache>
                <c:formatCode>0.00</c:formatCode>
                <c:ptCount val="15"/>
                <c:pt idx="0">
                  <c:v>22.087596599640001</c:v>
                </c:pt>
                <c:pt idx="1">
                  <c:v>25.631555196390003</c:v>
                </c:pt>
                <c:pt idx="2">
                  <c:v>28.535180538149998</c:v>
                </c:pt>
                <c:pt idx="3">
                  <c:v>31.136251210349997</c:v>
                </c:pt>
                <c:pt idx="4">
                  <c:v>33.403237060049989</c:v>
                </c:pt>
                <c:pt idx="5">
                  <c:v>35.585766421919992</c:v>
                </c:pt>
                <c:pt idx="6">
                  <c:v>36.675680398499999</c:v>
                </c:pt>
                <c:pt idx="7">
                  <c:v>36.82428388996501</c:v>
                </c:pt>
                <c:pt idx="8">
                  <c:v>36.980182893224999</c:v>
                </c:pt>
                <c:pt idx="9">
                  <c:v>37.076651293109997</c:v>
                </c:pt>
                <c:pt idx="10">
                  <c:v>36.664972601400009</c:v>
                </c:pt>
                <c:pt idx="11">
                  <c:v>36.353198666070014</c:v>
                </c:pt>
                <c:pt idx="12">
                  <c:v>35.695831161705001</c:v>
                </c:pt>
                <c:pt idx="13">
                  <c:v>34.355678917560006</c:v>
                </c:pt>
                <c:pt idx="14">
                  <c:v>32.203618246800005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4E-48B0-865A-955F2CE3E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7152"/>
        <c:axId val="19426793"/>
      </c:scatterChart>
      <c:valAx>
        <c:axId val="1115715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426793"/>
        <c:crosses val="autoZero"/>
        <c:crossBetween val="midCat"/>
        <c:majorUnit val="25"/>
      </c:valAx>
      <c:valAx>
        <c:axId val="19426793"/>
        <c:scaling>
          <c:orientation val="minMax"/>
          <c:max val="13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THRUST HORSEPOWER AVAILABLE, THPAV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1157152"/>
        <c:crosses val="autoZero"/>
        <c:crossBetween val="midCat"/>
        <c:majorUnit val="10"/>
      </c:valAx>
      <c:spPr>
        <a:noFill/>
        <a:ln w="0">
          <a:noFill/>
        </a:ln>
      </c:spPr>
    </c:plotArea>
    <c:legend>
      <c:legendPos val="l"/>
      <c:layout>
        <c:manualLayout>
          <c:xMode val="edge"/>
          <c:yMode val="edge"/>
          <c:x val="0.13048320712278599"/>
          <c:y val="0.111385075512915"/>
          <c:w val="0.15975824315315301"/>
          <c:h val="0.1406145985292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Sea Level</a:t>
            </a:r>
          </a:p>
        </c:rich>
      </c:tx>
      <c:layout>
        <c:manualLayout>
          <c:xMode val="edge"/>
          <c:yMode val="edge"/>
          <c:x val="0.42512443194113803"/>
          <c:y val="2.5450309167488101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12'!$K$26:$K$40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12'!$L$26:$L$40</c:f>
              <c:numCache>
                <c:formatCode>0.00</c:formatCode>
                <c:ptCount val="15"/>
                <c:pt idx="0">
                  <c:v>30.573317058051732</c:v>
                </c:pt>
                <c:pt idx="1">
                  <c:v>31.425319772263663</c:v>
                </c:pt>
                <c:pt idx="2">
                  <c:v>34.502899666966258</c:v>
                </c:pt>
                <c:pt idx="3">
                  <c:v>39.725506931906104</c:v>
                </c:pt>
                <c:pt idx="4">
                  <c:v>47.124168790920358</c:v>
                </c:pt>
                <c:pt idx="5">
                  <c:v>56.790772668259258</c:v>
                </c:pt>
                <c:pt idx="6">
                  <c:v>68.852707771747262</c:v>
                </c:pt>
                <c:pt idx="7">
                  <c:v>83.459210560639207</c:v>
                </c:pt>
                <c:pt idx="8">
                  <c:v>100.77356215582365</c:v>
                </c:pt>
                <c:pt idx="9">
                  <c:v>120.96840678594509</c:v>
                </c:pt>
                <c:pt idx="10">
                  <c:v>144.22282581623011</c:v>
                </c:pt>
                <c:pt idx="11">
                  <c:v>170.7204444730221</c:v>
                </c:pt>
                <c:pt idx="12">
                  <c:v>200.64816966013768</c:v>
                </c:pt>
                <c:pt idx="13">
                  <c:v>234.19532635953189</c:v>
                </c:pt>
                <c:pt idx="14">
                  <c:v>271.55305311176289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65-45AB-B42D-C9E114566F18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12'!$K$26:$K$40</c:f>
              <c:numCache>
                <c:formatCode>0</c:formatCode>
                <c:ptCount val="1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</c:numCache>
            </c:numRef>
          </c:xVal>
          <c:yVal>
            <c:numRef>
              <c:f>'ACT 12'!$M$26:$M$40</c:f>
              <c:numCache>
                <c:formatCode>0.00</c:formatCode>
                <c:ptCount val="15"/>
                <c:pt idx="0">
                  <c:v>50.825225100000004</c:v>
                </c:pt>
                <c:pt idx="1">
                  <c:v>57.963884550000003</c:v>
                </c:pt>
                <c:pt idx="2">
                  <c:v>65.642616000000004</c:v>
                </c:pt>
                <c:pt idx="3">
                  <c:v>72.523259249999995</c:v>
                </c:pt>
                <c:pt idx="4">
                  <c:v>79.958794499999982</c:v>
                </c:pt>
                <c:pt idx="5">
                  <c:v>86.234241600000004</c:v>
                </c:pt>
                <c:pt idx="6">
                  <c:v>90.631860149999994</c:v>
                </c:pt>
                <c:pt idx="7">
                  <c:v>94.469277824999992</c:v>
                </c:pt>
                <c:pt idx="8">
                  <c:v>97.255308150000019</c:v>
                </c:pt>
                <c:pt idx="9">
                  <c:v>99.349058249999999</c:v>
                </c:pt>
                <c:pt idx="10">
                  <c:v>101.35736617500001</c:v>
                </c:pt>
                <c:pt idx="11">
                  <c:v>103.04257860000001</c:v>
                </c:pt>
                <c:pt idx="12">
                  <c:v>104.349933675</c:v>
                </c:pt>
                <c:pt idx="13">
                  <c:v>105.2288289</c:v>
                </c:pt>
                <c:pt idx="14">
                  <c:v>105.051492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65-45AB-B42D-C9E114566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6634"/>
        <c:axId val="32490542"/>
      </c:scatterChart>
      <c:valAx>
        <c:axId val="5001663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90542"/>
        <c:crosses val="autoZero"/>
        <c:crossBetween val="midCat"/>
        <c:majorUnit val="25"/>
      </c:valAx>
      <c:valAx>
        <c:axId val="324905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6634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5 000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12'!$Q$26:$Q$40</c:f>
              <c:numCache>
                <c:formatCode>0.00</c:formatCode>
                <c:ptCount val="15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  <c:pt idx="7">
                  <c:v>140.04952280653112</c:v>
                </c:pt>
                <c:pt idx="8">
                  <c:v>150.82256302241814</c:v>
                </c:pt>
                <c:pt idx="9">
                  <c:v>161.59560323830513</c:v>
                </c:pt>
                <c:pt idx="10">
                  <c:v>172.36864345419215</c:v>
                </c:pt>
                <c:pt idx="11">
                  <c:v>183.14168367007915</c:v>
                </c:pt>
                <c:pt idx="12">
                  <c:v>193.91472388596617</c:v>
                </c:pt>
                <c:pt idx="13">
                  <c:v>204.68776410185316</c:v>
                </c:pt>
                <c:pt idx="14">
                  <c:v>215.46080431774018</c:v>
                </c:pt>
              </c:numCache>
            </c:numRef>
          </c:xVal>
          <c:yVal>
            <c:numRef>
              <c:f>'ACT 12'!$R$26:$R$40</c:f>
              <c:numCache>
                <c:formatCode>0.00</c:formatCode>
                <c:ptCount val="15"/>
                <c:pt idx="0">
                  <c:v>32.936757419945558</c:v>
                </c:pt>
                <c:pt idx="1">
                  <c:v>33.854623370370561</c:v>
                </c:pt>
                <c:pt idx="2">
                  <c:v>37.170112567694197</c:v>
                </c:pt>
                <c:pt idx="3">
                  <c:v>42.796448377392259</c:v>
                </c:pt>
                <c:pt idx="4">
                  <c:v>50.767056552483254</c:v>
                </c:pt>
                <c:pt idx="5">
                  <c:v>61.180927784645377</c:v>
                </c:pt>
                <c:pt idx="6">
                  <c:v>74.175298979774922</c:v>
                </c:pt>
                <c:pt idx="7">
                  <c:v>89.910943175594795</c:v>
                </c:pt>
                <c:pt idx="8">
                  <c:v>108.56376378028774</c:v>
                </c:pt>
                <c:pt idx="9">
                  <c:v>130.31975111567655</c:v>
                </c:pt>
                <c:pt idx="10">
                  <c:v>155.37183025671141</c:v>
                </c:pt>
                <c:pt idx="11">
                  <c:v>183.91782139819722</c:v>
                </c:pt>
                <c:pt idx="12">
                  <c:v>216.1590800992783</c:v>
                </c:pt>
                <c:pt idx="13">
                  <c:v>252.299566924402</c:v>
                </c:pt>
                <c:pt idx="14">
                  <c:v>292.54519619199226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6-4C93-8870-114C8AB55CC1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12'!$Q$26:$Q$40</c:f>
              <c:numCache>
                <c:formatCode>0.00</c:formatCode>
                <c:ptCount val="15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  <c:pt idx="7">
                  <c:v>140.04952280653112</c:v>
                </c:pt>
                <c:pt idx="8">
                  <c:v>150.82256302241814</c:v>
                </c:pt>
                <c:pt idx="9">
                  <c:v>161.59560323830513</c:v>
                </c:pt>
                <c:pt idx="10">
                  <c:v>172.36864345419215</c:v>
                </c:pt>
                <c:pt idx="11">
                  <c:v>183.14168367007915</c:v>
                </c:pt>
                <c:pt idx="12">
                  <c:v>193.91472388596617</c:v>
                </c:pt>
                <c:pt idx="13">
                  <c:v>204.68776410185316</c:v>
                </c:pt>
                <c:pt idx="14">
                  <c:v>215.46080431774018</c:v>
                </c:pt>
              </c:numCache>
            </c:numRef>
          </c:xVal>
          <c:yVal>
            <c:numRef>
              <c:f>'ACT 12'!$S$26:$S$40</c:f>
              <c:numCache>
                <c:formatCode>0.00</c:formatCode>
                <c:ptCount val="15"/>
                <c:pt idx="0">
                  <c:v>41.714932390170006</c:v>
                </c:pt>
                <c:pt idx="1">
                  <c:v>47.77658188992001</c:v>
                </c:pt>
                <c:pt idx="2">
                  <c:v>54.09255512992501</c:v>
                </c:pt>
                <c:pt idx="3">
                  <c:v>59.473087434149974</c:v>
                </c:pt>
                <c:pt idx="4">
                  <c:v>64.672149708074983</c:v>
                </c:pt>
                <c:pt idx="5">
                  <c:v>70.195547897279994</c:v>
                </c:pt>
                <c:pt idx="6">
                  <c:v>74.105137211820008</c:v>
                </c:pt>
                <c:pt idx="7">
                  <c:v>77.363902066034996</c:v>
                </c:pt>
                <c:pt idx="8">
                  <c:v>79.701362063895004</c:v>
                </c:pt>
                <c:pt idx="9">
                  <c:v>81.513355271887491</c:v>
                </c:pt>
                <c:pt idx="10">
                  <c:v>82.561501410862491</c:v>
                </c:pt>
                <c:pt idx="11">
                  <c:v>83.754385252199995</c:v>
                </c:pt>
                <c:pt idx="12">
                  <c:v>85.166548562159988</c:v>
                </c:pt>
                <c:pt idx="13">
                  <c:v>85.988520612344985</c:v>
                </c:pt>
                <c:pt idx="14">
                  <c:v>85.935023069220009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36-4C93-8870-114C8AB55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77553"/>
        <c:axId val="77189949"/>
      </c:scatterChart>
      <c:valAx>
        <c:axId val="1807755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77189949"/>
        <c:crosses val="autoZero"/>
        <c:crossBetween val="midCat"/>
        <c:majorUnit val="25"/>
      </c:valAx>
      <c:valAx>
        <c:axId val="7718994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8077553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10 000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12'!$W$26:$W$40</c:f>
              <c:numCache>
                <c:formatCode>0.00</c:formatCode>
                <c:ptCount val="15"/>
                <c:pt idx="0">
                  <c:v>69.823142530029941</c:v>
                </c:pt>
                <c:pt idx="1">
                  <c:v>81.460332951701602</c:v>
                </c:pt>
                <c:pt idx="2">
                  <c:v>93.097523373373249</c:v>
                </c:pt>
                <c:pt idx="3">
                  <c:v>104.73471379504491</c:v>
                </c:pt>
                <c:pt idx="4">
                  <c:v>116.37190421671657</c:v>
                </c:pt>
                <c:pt idx="5">
                  <c:v>128.00909463838823</c:v>
                </c:pt>
                <c:pt idx="6">
                  <c:v>139.64628506005988</c:v>
                </c:pt>
                <c:pt idx="7">
                  <c:v>151.28347548173153</c:v>
                </c:pt>
                <c:pt idx="8">
                  <c:v>162.9206659034032</c:v>
                </c:pt>
                <c:pt idx="9">
                  <c:v>174.55785632507485</c:v>
                </c:pt>
                <c:pt idx="10">
                  <c:v>186.1950467467465</c:v>
                </c:pt>
                <c:pt idx="11">
                  <c:v>197.83223716841817</c:v>
                </c:pt>
                <c:pt idx="12">
                  <c:v>209.46942759008982</c:v>
                </c:pt>
                <c:pt idx="13">
                  <c:v>221.10661801176147</c:v>
                </c:pt>
                <c:pt idx="14">
                  <c:v>232.74380843343314</c:v>
                </c:pt>
              </c:numCache>
            </c:numRef>
          </c:xVal>
          <c:yVal>
            <c:numRef>
              <c:f>'ACT 12'!$X$26:$X$40</c:f>
              <c:numCache>
                <c:formatCode>0.00</c:formatCode>
                <c:ptCount val="15"/>
                <c:pt idx="0">
                  <c:v>35.578751242669028</c:v>
                </c:pt>
                <c:pt idx="1">
                  <c:v>36.570243025175564</c:v>
                </c:pt>
                <c:pt idx="2">
                  <c:v>40.151681352431794</c:v>
                </c:pt>
                <c:pt idx="3">
                  <c:v>46.229328876402874</c:v>
                </c:pt>
                <c:pt idx="4">
                  <c:v>54.839292568293679</c:v>
                </c:pt>
                <c:pt idx="5">
                  <c:v>66.088503573439922</c:v>
                </c:pt>
                <c:pt idx="6">
                  <c:v>80.125207138753495</c:v>
                </c:pt>
                <c:pt idx="7">
                  <c:v>97.123072573654852</c:v>
                </c:pt>
                <c:pt idx="8">
                  <c:v>117.27211322774843</c:v>
                </c:pt>
                <c:pt idx="9">
                  <c:v>140.77323847742809</c:v>
                </c:pt>
                <c:pt idx="10">
                  <c:v>167.83484871750528</c:v>
                </c:pt>
                <c:pt idx="11">
                  <c:v>198.67063212049808</c:v>
                </c:pt>
                <c:pt idx="12">
                  <c:v>233.49809580949037</c:v>
                </c:pt>
                <c:pt idx="13">
                  <c:v>272.53756087114124</c:v>
                </c:pt>
                <c:pt idx="14">
                  <c:v>316.0114588647902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8F-42BF-8FE4-B48F0EA2D28C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12'!$W$26:$W$40</c:f>
              <c:numCache>
                <c:formatCode>0.00</c:formatCode>
                <c:ptCount val="15"/>
                <c:pt idx="0">
                  <c:v>69.823142530029941</c:v>
                </c:pt>
                <c:pt idx="1">
                  <c:v>81.460332951701602</c:v>
                </c:pt>
                <c:pt idx="2">
                  <c:v>93.097523373373249</c:v>
                </c:pt>
                <c:pt idx="3">
                  <c:v>104.73471379504491</c:v>
                </c:pt>
                <c:pt idx="4">
                  <c:v>116.37190421671657</c:v>
                </c:pt>
                <c:pt idx="5">
                  <c:v>128.00909463838823</c:v>
                </c:pt>
                <c:pt idx="6">
                  <c:v>139.64628506005988</c:v>
                </c:pt>
                <c:pt idx="7">
                  <c:v>151.28347548173153</c:v>
                </c:pt>
                <c:pt idx="8">
                  <c:v>162.9206659034032</c:v>
                </c:pt>
                <c:pt idx="9">
                  <c:v>174.55785632507485</c:v>
                </c:pt>
                <c:pt idx="10">
                  <c:v>186.1950467467465</c:v>
                </c:pt>
                <c:pt idx="11">
                  <c:v>197.83223716841817</c:v>
                </c:pt>
                <c:pt idx="12">
                  <c:v>209.46942759008982</c:v>
                </c:pt>
                <c:pt idx="13">
                  <c:v>221.10661801176147</c:v>
                </c:pt>
                <c:pt idx="14">
                  <c:v>232.74380843343314</c:v>
                </c:pt>
              </c:numCache>
            </c:numRef>
          </c:xVal>
          <c:yVal>
            <c:numRef>
              <c:f>'ACT 12'!$Y$26:$Y$40</c:f>
              <c:numCache>
                <c:formatCode>0.00</c:formatCode>
                <c:ptCount val="15"/>
                <c:pt idx="0">
                  <c:v>33.75009272407501</c:v>
                </c:pt>
                <c:pt idx="1">
                  <c:v>39.253988523993769</c:v>
                </c:pt>
                <c:pt idx="2">
                  <c:v>43.726204606500005</c:v>
                </c:pt>
                <c:pt idx="3">
                  <c:v>48.492458688374988</c:v>
                </c:pt>
                <c:pt idx="4">
                  <c:v>52.921719059624991</c:v>
                </c:pt>
                <c:pt idx="5">
                  <c:v>56.919686077800009</c:v>
                </c:pt>
                <c:pt idx="6">
                  <c:v>59.549936319900013</c:v>
                </c:pt>
                <c:pt idx="7">
                  <c:v>61.941376424362517</c:v>
                </c:pt>
                <c:pt idx="8">
                  <c:v>63.755419746768766</c:v>
                </c:pt>
                <c:pt idx="9">
                  <c:v>64.621913949450018</c:v>
                </c:pt>
                <c:pt idx="10">
                  <c:v>65.687775822337514</c:v>
                </c:pt>
                <c:pt idx="11">
                  <c:v>66.074681033887515</c:v>
                </c:pt>
                <c:pt idx="12">
                  <c:v>66.826548332212482</c:v>
                </c:pt>
                <c:pt idx="13">
                  <c:v>67.302958461862488</c:v>
                </c:pt>
                <c:pt idx="14">
                  <c:v>67.317746441400018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8F-42BF-8FE4-B48F0EA2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93777"/>
        <c:axId val="61602721"/>
      </c:scatterChart>
      <c:valAx>
        <c:axId val="5349377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1602721"/>
        <c:crosses val="autoZero"/>
        <c:crossBetween val="midCat"/>
        <c:majorUnit val="25"/>
      </c:valAx>
      <c:valAx>
        <c:axId val="6160272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3493777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15 000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12'!$AC$26:$AC$40</c:f>
              <c:numCache>
                <c:formatCode>0.00</c:formatCode>
                <c:ptCount val="15"/>
                <c:pt idx="0">
                  <c:v>75.643030714142327</c:v>
                </c:pt>
                <c:pt idx="1">
                  <c:v>88.250202499832724</c:v>
                </c:pt>
                <c:pt idx="2">
                  <c:v>100.85737428552311</c:v>
                </c:pt>
                <c:pt idx="3">
                  <c:v>113.46454607121349</c:v>
                </c:pt>
                <c:pt idx="4">
                  <c:v>126.07171785690389</c:v>
                </c:pt>
                <c:pt idx="5">
                  <c:v>138.67888964259427</c:v>
                </c:pt>
                <c:pt idx="6">
                  <c:v>151.28606142828465</c:v>
                </c:pt>
                <c:pt idx="7">
                  <c:v>163.89323321397504</c:v>
                </c:pt>
                <c:pt idx="8">
                  <c:v>176.50040499966545</c:v>
                </c:pt>
                <c:pt idx="9">
                  <c:v>189.10757678535583</c:v>
                </c:pt>
                <c:pt idx="10">
                  <c:v>201.71474857104621</c:v>
                </c:pt>
                <c:pt idx="11">
                  <c:v>214.3219203567366</c:v>
                </c:pt>
                <c:pt idx="12">
                  <c:v>226.92909214242698</c:v>
                </c:pt>
                <c:pt idx="13">
                  <c:v>239.53626392811739</c:v>
                </c:pt>
                <c:pt idx="14">
                  <c:v>252.14343571380778</c:v>
                </c:pt>
              </c:numCache>
            </c:numRef>
          </c:xVal>
          <c:yVal>
            <c:numRef>
              <c:f>'ACT 12'!$AD$26:$AD$40</c:f>
              <c:numCache>
                <c:formatCode>0.00</c:formatCode>
                <c:ptCount val="15"/>
                <c:pt idx="0">
                  <c:v>38.544306020923649</c:v>
                </c:pt>
                <c:pt idx="1">
                  <c:v>39.618440478918075</c:v>
                </c:pt>
                <c:pt idx="2">
                  <c:v>43.498398320588329</c:v>
                </c:pt>
                <c:pt idx="3">
                  <c:v>50.082629016417457</c:v>
                </c:pt>
                <c:pt idx="4">
                  <c:v>59.410249120500268</c:v>
                </c:pt>
                <c:pt idx="5">
                  <c:v>71.597102687083492</c:v>
                </c:pt>
                <c:pt idx="6">
                  <c:v>86.803791478835748</c:v>
                </c:pt>
                <c:pt idx="7">
                  <c:v>105.21846046360839</c:v>
                </c:pt>
                <c:pt idx="8">
                  <c:v>127.04696095544166</c:v>
                </c:pt>
                <c:pt idx="9">
                  <c:v>152.50694849916846</c:v>
                </c:pt>
                <c:pt idx="10">
                  <c:v>181.82419404829156</c:v>
                </c:pt>
                <c:pt idx="11">
                  <c:v>215.23019708008067</c:v>
                </c:pt>
                <c:pt idx="12">
                  <c:v>252.96059433897059</c:v>
                </c:pt>
                <c:pt idx="13">
                  <c:v>295.25407108204428</c:v>
                </c:pt>
                <c:pt idx="14">
                  <c:v>342.35159895087008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1-4E5C-887C-0B4F05821CF6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12'!$AC$26:$AC$40</c:f>
              <c:numCache>
                <c:formatCode>0.00</c:formatCode>
                <c:ptCount val="15"/>
                <c:pt idx="0">
                  <c:v>75.643030714142327</c:v>
                </c:pt>
                <c:pt idx="1">
                  <c:v>88.250202499832724</c:v>
                </c:pt>
                <c:pt idx="2">
                  <c:v>100.85737428552311</c:v>
                </c:pt>
                <c:pt idx="3">
                  <c:v>113.46454607121349</c:v>
                </c:pt>
                <c:pt idx="4">
                  <c:v>126.07171785690389</c:v>
                </c:pt>
                <c:pt idx="5">
                  <c:v>138.67888964259427</c:v>
                </c:pt>
                <c:pt idx="6">
                  <c:v>151.28606142828465</c:v>
                </c:pt>
                <c:pt idx="7">
                  <c:v>163.89323321397504</c:v>
                </c:pt>
                <c:pt idx="8">
                  <c:v>176.50040499966545</c:v>
                </c:pt>
                <c:pt idx="9">
                  <c:v>189.10757678535583</c:v>
                </c:pt>
                <c:pt idx="10">
                  <c:v>201.71474857104621</c:v>
                </c:pt>
                <c:pt idx="11">
                  <c:v>214.3219203567366</c:v>
                </c:pt>
                <c:pt idx="12">
                  <c:v>226.92909214242698</c:v>
                </c:pt>
                <c:pt idx="13">
                  <c:v>239.53626392811739</c:v>
                </c:pt>
                <c:pt idx="14">
                  <c:v>252.14343571380778</c:v>
                </c:pt>
              </c:numCache>
            </c:numRef>
          </c:xVal>
          <c:yVal>
            <c:numRef>
              <c:f>'ACT 12'!$AE$26:$AE$40</c:f>
              <c:numCache>
                <c:formatCode>0.00</c:formatCode>
                <c:ptCount val="15"/>
                <c:pt idx="0">
                  <c:v>24.601130271900001</c:v>
                </c:pt>
                <c:pt idx="1">
                  <c:v>28.685828323425003</c:v>
                </c:pt>
                <c:pt idx="2">
                  <c:v>31.820585808375004</c:v>
                </c:pt>
                <c:pt idx="3">
                  <c:v>35.103082798875</c:v>
                </c:pt>
                <c:pt idx="4">
                  <c:v>38.312662240124986</c:v>
                </c:pt>
                <c:pt idx="5">
                  <c:v>40.754862766799995</c:v>
                </c:pt>
                <c:pt idx="6">
                  <c:v>42.753606045150001</c:v>
                </c:pt>
                <c:pt idx="7">
                  <c:v>44.138860659075</c:v>
                </c:pt>
                <c:pt idx="8">
                  <c:v>44.667441180862497</c:v>
                </c:pt>
                <c:pt idx="9">
                  <c:v>45.304132657874987</c:v>
                </c:pt>
                <c:pt idx="10">
                  <c:v>45.639994992637504</c:v>
                </c:pt>
                <c:pt idx="11">
                  <c:v>45.687970528200005</c:v>
                </c:pt>
                <c:pt idx="12">
                  <c:v>45.824978001074996</c:v>
                </c:pt>
                <c:pt idx="13">
                  <c:v>45.597630105299984</c:v>
                </c:pt>
                <c:pt idx="14">
                  <c:v>45.264353425199999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991-4E5C-887C-0B4F0582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2702"/>
        <c:axId val="10667332"/>
      </c:scatterChart>
      <c:valAx>
        <c:axId val="583227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0667332"/>
        <c:crosses val="autoZero"/>
        <c:crossBetween val="midCat"/>
        <c:majorUnit val="25"/>
      </c:valAx>
      <c:valAx>
        <c:axId val="106673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8322702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h = 20 000 ft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12'!$AI$26:$AI$40</c:f>
              <c:numCache>
                <c:formatCode>0.00</c:formatCode>
                <c:ptCount val="15"/>
                <c:pt idx="0">
                  <c:v>82.204678830324283</c:v>
                </c:pt>
                <c:pt idx="1">
                  <c:v>95.905458635378324</c:v>
                </c:pt>
                <c:pt idx="2">
                  <c:v>109.60623844043236</c:v>
                </c:pt>
                <c:pt idx="3">
                  <c:v>123.30701824548642</c:v>
                </c:pt>
                <c:pt idx="4">
                  <c:v>137.00779805054046</c:v>
                </c:pt>
                <c:pt idx="5">
                  <c:v>150.70857785559451</c:v>
                </c:pt>
                <c:pt idx="6">
                  <c:v>164.40935766064857</c:v>
                </c:pt>
                <c:pt idx="7">
                  <c:v>178.11013746570259</c:v>
                </c:pt>
                <c:pt idx="8">
                  <c:v>191.81091727075665</c:v>
                </c:pt>
                <c:pt idx="9">
                  <c:v>205.5116970758107</c:v>
                </c:pt>
                <c:pt idx="10">
                  <c:v>219.21247688086473</c:v>
                </c:pt>
                <c:pt idx="11">
                  <c:v>232.91325668591878</c:v>
                </c:pt>
                <c:pt idx="12">
                  <c:v>246.61403649097284</c:v>
                </c:pt>
                <c:pt idx="13">
                  <c:v>260.31481629602689</c:v>
                </c:pt>
                <c:pt idx="14">
                  <c:v>274.01559610108092</c:v>
                </c:pt>
              </c:numCache>
            </c:numRef>
          </c:xVal>
          <c:yVal>
            <c:numRef>
              <c:f>'ACT 12'!$AJ$26:$AJ$40</c:f>
              <c:numCache>
                <c:formatCode>0.00</c:formatCode>
                <c:ptCount val="15"/>
                <c:pt idx="0">
                  <c:v>41.887828492246953</c:v>
                </c:pt>
                <c:pt idx="1">
                  <c:v>43.055138650319563</c:v>
                </c:pt>
                <c:pt idx="2">
                  <c:v>47.271663097297726</c:v>
                </c:pt>
                <c:pt idx="3">
                  <c:v>54.42704231181937</c:v>
                </c:pt>
                <c:pt idx="4">
                  <c:v>64.563786010059985</c:v>
                </c:pt>
                <c:pt idx="5">
                  <c:v>77.807787128670171</c:v>
                </c:pt>
                <c:pt idx="6">
                  <c:v>94.33357881624427</c:v>
                </c:pt>
                <c:pt idx="7">
                  <c:v>114.34562665949591</c:v>
                </c:pt>
                <c:pt idx="8">
                  <c:v>138.06763852678674</c:v>
                </c:pt>
                <c:pt idx="9">
                  <c:v>165.73615047424394</c:v>
                </c:pt>
                <c:pt idx="10">
                  <c:v>197.59651793708329</c:v>
                </c:pt>
                <c:pt idx="11">
                  <c:v>233.90032179458319</c:v>
                </c:pt>
                <c:pt idx="12">
                  <c:v>274.90363908006725</c:v>
                </c:pt>
                <c:pt idx="13">
                  <c:v>320.8658597824716</c:v>
                </c:pt>
                <c:pt idx="14">
                  <c:v>372.04885860744099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F-4F24-8E31-E5BCD9ECE6AB}"/>
            </c:ext>
          </c:extLst>
        </c:ser>
        <c:ser>
          <c:idx val="1"/>
          <c:order val="1"/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12'!$AI$26:$AI$40</c:f>
              <c:numCache>
                <c:formatCode>0.00</c:formatCode>
                <c:ptCount val="15"/>
                <c:pt idx="0">
                  <c:v>82.204678830324283</c:v>
                </c:pt>
                <c:pt idx="1">
                  <c:v>95.905458635378324</c:v>
                </c:pt>
                <c:pt idx="2">
                  <c:v>109.60623844043236</c:v>
                </c:pt>
                <c:pt idx="3">
                  <c:v>123.30701824548642</c:v>
                </c:pt>
                <c:pt idx="4">
                  <c:v>137.00779805054046</c:v>
                </c:pt>
                <c:pt idx="5">
                  <c:v>150.70857785559451</c:v>
                </c:pt>
                <c:pt idx="6">
                  <c:v>164.40935766064857</c:v>
                </c:pt>
                <c:pt idx="7">
                  <c:v>178.11013746570259</c:v>
                </c:pt>
                <c:pt idx="8">
                  <c:v>191.81091727075665</c:v>
                </c:pt>
                <c:pt idx="9">
                  <c:v>205.5116970758107</c:v>
                </c:pt>
                <c:pt idx="10">
                  <c:v>219.21247688086473</c:v>
                </c:pt>
                <c:pt idx="11">
                  <c:v>232.91325668591878</c:v>
                </c:pt>
                <c:pt idx="12">
                  <c:v>246.61403649097284</c:v>
                </c:pt>
                <c:pt idx="13">
                  <c:v>260.31481629602689</c:v>
                </c:pt>
                <c:pt idx="14">
                  <c:v>274.01559610108092</c:v>
                </c:pt>
              </c:numCache>
            </c:numRef>
          </c:xVal>
          <c:yVal>
            <c:numRef>
              <c:f>'ACT 12'!$AK$26:$AK$40</c:f>
              <c:numCache>
                <c:formatCode>0.00</c:formatCode>
                <c:ptCount val="15"/>
                <c:pt idx="0">
                  <c:v>22.087596599640001</c:v>
                </c:pt>
                <c:pt idx="1">
                  <c:v>25.631555196390003</c:v>
                </c:pt>
                <c:pt idx="2">
                  <c:v>28.535180538149998</c:v>
                </c:pt>
                <c:pt idx="3">
                  <c:v>31.136251210349997</c:v>
                </c:pt>
                <c:pt idx="4">
                  <c:v>33.403237060049989</c:v>
                </c:pt>
                <c:pt idx="5">
                  <c:v>35.585766421919992</c:v>
                </c:pt>
                <c:pt idx="6">
                  <c:v>36.675680398499999</c:v>
                </c:pt>
                <c:pt idx="7">
                  <c:v>36.82428388996501</c:v>
                </c:pt>
                <c:pt idx="8">
                  <c:v>36.980182893224999</c:v>
                </c:pt>
                <c:pt idx="9">
                  <c:v>37.076651293109997</c:v>
                </c:pt>
                <c:pt idx="10">
                  <c:v>36.664972601400009</c:v>
                </c:pt>
                <c:pt idx="11">
                  <c:v>36.353198666070014</c:v>
                </c:pt>
                <c:pt idx="12">
                  <c:v>35.695831161705001</c:v>
                </c:pt>
                <c:pt idx="13">
                  <c:v>34.355678917560006</c:v>
                </c:pt>
                <c:pt idx="14">
                  <c:v>32.203618246800005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F-4F24-8E31-E5BCD9ECE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22830"/>
        <c:axId val="5019366"/>
      </c:scatterChart>
      <c:valAx>
        <c:axId val="4502283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366"/>
        <c:crosses val="autoZero"/>
        <c:crossBetween val="midCat"/>
        <c:majorUnit val="25"/>
      </c:valAx>
      <c:valAx>
        <c:axId val="50193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3A3A3A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3A3A3A"/>
                    </a:solidFill>
                    <a:latin typeface="Calibri"/>
                  </a:rPr>
                  <a:t> THRUST HORSEPOWER, THP (hp)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5022830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"SEA LEVEL"</c:f>
              <c:strCache>
                <c:ptCount val="1"/>
                <c:pt idx="0">
                  <c:v>SEA LEVEL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12'!$K$9:$K$17</c:f>
              <c:numCache>
                <c:formatCode>General</c:formatCode>
                <c:ptCount val="9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139.63999999999999</c:v>
                </c:pt>
              </c:numCache>
            </c:numRef>
          </c:xVal>
          <c:yVal>
            <c:numRef>
              <c:f>'ACT 12'!$O$9:$O$17</c:f>
              <c:numCache>
                <c:formatCode>0.00</c:formatCode>
                <c:ptCount val="9"/>
                <c:pt idx="0">
                  <c:v>405.22182560154471</c:v>
                </c:pt>
                <c:pt idx="1">
                  <c:v>531.01197407197935</c:v>
                </c:pt>
                <c:pt idx="2">
                  <c:v>623.07673306876313</c:v>
                </c:pt>
                <c:pt idx="3">
                  <c:v>656.25248951538947</c:v>
                </c:pt>
                <c:pt idx="4">
                  <c:v>656.99029174026589</c:v>
                </c:pt>
                <c:pt idx="5">
                  <c:v>589.13640175775345</c:v>
                </c:pt>
                <c:pt idx="6">
                  <c:v>435.78056292224551</c:v>
                </c:pt>
                <c:pt idx="7">
                  <c:v>220.3011957006139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C5-4025-B1E8-73EC4E2AA1F8}"/>
            </c:ext>
          </c:extLst>
        </c:ser>
        <c:ser>
          <c:idx val="1"/>
          <c:order val="1"/>
          <c:tx>
            <c:strRef>
              <c:f>"h = 5 000 ft"</c:f>
              <c:strCache>
                <c:ptCount val="1"/>
                <c:pt idx="0">
                  <c:v>h = 5 000 ft</c:v>
                </c:pt>
              </c:strCache>
            </c:strRef>
          </c:tx>
          <c:spPr>
            <a:ln w="1908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12'!$Q$9:$Q$15</c:f>
              <c:numCache>
                <c:formatCode>0.00</c:formatCode>
                <c:ptCount val="7"/>
                <c:pt idx="0">
                  <c:v>64.638241295322061</c:v>
                </c:pt>
                <c:pt idx="1">
                  <c:v>75.411281511209069</c:v>
                </c:pt>
                <c:pt idx="2">
                  <c:v>86.184321727096076</c:v>
                </c:pt>
                <c:pt idx="3">
                  <c:v>96.957361942983084</c:v>
                </c:pt>
                <c:pt idx="4">
                  <c:v>107.73040215887009</c:v>
                </c:pt>
                <c:pt idx="5">
                  <c:v>118.5034423747571</c:v>
                </c:pt>
                <c:pt idx="6">
                  <c:v>129.27648259064412</c:v>
                </c:pt>
              </c:numCache>
            </c:numRef>
          </c:xVal>
          <c:yVal>
            <c:numRef>
              <c:f>'ACT 12'!$U$9:$U$15</c:f>
              <c:numCache>
                <c:formatCode>0.00</c:formatCode>
                <c:ptCount val="7"/>
                <c:pt idx="0">
                  <c:v>175.64310876368819</c:v>
                </c:pt>
                <c:pt idx="1">
                  <c:v>278.56542877616573</c:v>
                </c:pt>
                <c:pt idx="2">
                  <c:v>338.60232105047396</c:v>
                </c:pt>
                <c:pt idx="3">
                  <c:v>333.68402174648963</c:v>
                </c:pt>
                <c:pt idx="4">
                  <c:v>278.22796854485193</c:v>
                </c:pt>
                <c:pt idx="5">
                  <c:v>180.3741559353229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C5-4025-B1E8-73EC4E2AA1F8}"/>
            </c:ext>
          </c:extLst>
        </c:ser>
        <c:ser>
          <c:idx val="2"/>
          <c:order val="2"/>
          <c:tx>
            <c:strRef>
              <c:f>"h = 10 000 ft"</c:f>
              <c:strCache>
                <c:ptCount val="1"/>
                <c:pt idx="0">
                  <c:v>h = 10 000 ft</c:v>
                </c:pt>
              </c:strCache>
            </c:strRef>
          </c:tx>
          <c:spPr>
            <a:ln w="19080" cap="rnd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12'!$W$10:$W$13</c:f>
              <c:numCache>
                <c:formatCode>0.00</c:formatCode>
                <c:ptCount val="4"/>
                <c:pt idx="0">
                  <c:v>81.460332951701602</c:v>
                </c:pt>
                <c:pt idx="1">
                  <c:v>93.097523373373249</c:v>
                </c:pt>
                <c:pt idx="2">
                  <c:v>104.73471379504491</c:v>
                </c:pt>
                <c:pt idx="3" formatCode="General">
                  <c:v>112.56</c:v>
                </c:pt>
              </c:numCache>
            </c:numRef>
          </c:xVal>
          <c:yVal>
            <c:numRef>
              <c:f>'ACT 12'!$AA$10:$AA$13</c:f>
              <c:numCache>
                <c:formatCode>0.00</c:formatCode>
                <c:ptCount val="4"/>
                <c:pt idx="0">
                  <c:v>53.699248891929052</c:v>
                </c:pt>
                <c:pt idx="1">
                  <c:v>71.522882469564422</c:v>
                </c:pt>
                <c:pt idx="2">
                  <c:v>45.283120587011894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C5-4025-B1E8-73EC4E2AA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6583"/>
        <c:axId val="68844191"/>
      </c:scatterChart>
      <c:valAx>
        <c:axId val="19496583"/>
        <c:scaling>
          <c:orientation val="minMax"/>
          <c:max val="200"/>
          <c:min val="-2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FLIGHT SPEED, V (mph)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8844191"/>
        <c:crosses val="autoZero"/>
        <c:crossBetween val="midCat"/>
        <c:majorUnit val="20"/>
      </c:valAx>
      <c:valAx>
        <c:axId val="68844191"/>
        <c:scaling>
          <c:orientation val="minMax"/>
          <c:max val="900"/>
          <c:min val="-7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RATE OF CLIMB, R.C. (fpm)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1949658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PH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PH" sz="1400" b="0" strike="noStrike" spc="-1">
                <a:solidFill>
                  <a:srgbClr val="595959"/>
                </a:solidFill>
                <a:latin typeface="Calibri"/>
              </a:rPr>
              <a:t>Hs = 9,535.65   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 VS thp av"</c:f>
              <c:strCache>
                <c:ptCount val="1"/>
                <c:pt idx="0">
                  <c:v>v VS thp av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13'!$C$4:$C$14</c:f>
              <c:numCache>
                <c:formatCode>0.00</c:formatCode>
                <c:ptCount val="11"/>
                <c:pt idx="0">
                  <c:v>69.32826656369177</c:v>
                </c:pt>
                <c:pt idx="1">
                  <c:v>80.882977657640396</c:v>
                </c:pt>
                <c:pt idx="2">
                  <c:v>92.437688751589022</c:v>
                </c:pt>
                <c:pt idx="3">
                  <c:v>103.99239984553765</c:v>
                </c:pt>
                <c:pt idx="4">
                  <c:v>115.54711093948627</c:v>
                </c:pt>
                <c:pt idx="5">
                  <c:v>127.10182203343491</c:v>
                </c:pt>
                <c:pt idx="6">
                  <c:v>138.65653312738354</c:v>
                </c:pt>
                <c:pt idx="7">
                  <c:v>150.21124422133215</c:v>
                </c:pt>
                <c:pt idx="8">
                  <c:v>161.76595531528079</c:v>
                </c:pt>
                <c:pt idx="9">
                  <c:v>173.32066640922943</c:v>
                </c:pt>
                <c:pt idx="10">
                  <c:v>184.87537750317804</c:v>
                </c:pt>
              </c:numCache>
            </c:numRef>
          </c:xVal>
          <c:yVal>
            <c:numRef>
              <c:f>'ACT 13'!$O$4:$O$14</c:f>
              <c:numCache>
                <c:formatCode>0.00</c:formatCode>
                <c:ptCount val="11"/>
                <c:pt idx="0">
                  <c:v>37.481537150553613</c:v>
                </c:pt>
                <c:pt idx="1">
                  <c:v>43.536282614816166</c:v>
                </c:pt>
                <c:pt idx="2">
                  <c:v>48.369777180753616</c:v>
                </c:pt>
                <c:pt idx="3">
                  <c:v>53.208768998673605</c:v>
                </c:pt>
                <c:pt idx="4">
                  <c:v>57.983792300491203</c:v>
                </c:pt>
                <c:pt idx="5">
                  <c:v>61.505508586429443</c:v>
                </c:pt>
                <c:pt idx="6">
                  <c:v>64.290911729029446</c:v>
                </c:pt>
                <c:pt idx="7">
                  <c:v>65.447229431319855</c:v>
                </c:pt>
                <c:pt idx="8">
                  <c:v>66.371857181572807</c:v>
                </c:pt>
                <c:pt idx="9">
                  <c:v>66.704635150551852</c:v>
                </c:pt>
                <c:pt idx="10">
                  <c:v>66.135931586375023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2-4F90-B755-C3EF4848B5E2}"/>
            </c:ext>
          </c:extLst>
        </c:ser>
        <c:ser>
          <c:idx val="1"/>
          <c:order val="1"/>
          <c:tx>
            <c:strRef>
              <c:f>"v vs thp reqd"</c:f>
              <c:strCache>
                <c:ptCount val="1"/>
                <c:pt idx="0">
                  <c:v>v vs thp reqd</c:v>
                </c:pt>
              </c:strCache>
            </c:strRef>
          </c:tx>
          <c:spPr>
            <a:ln w="1908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13'!$C$4:$C$14</c:f>
              <c:numCache>
                <c:formatCode>0.00</c:formatCode>
                <c:ptCount val="11"/>
                <c:pt idx="0">
                  <c:v>69.32826656369177</c:v>
                </c:pt>
                <c:pt idx="1">
                  <c:v>80.882977657640396</c:v>
                </c:pt>
                <c:pt idx="2">
                  <c:v>92.437688751589022</c:v>
                </c:pt>
                <c:pt idx="3">
                  <c:v>103.99239984553765</c:v>
                </c:pt>
                <c:pt idx="4">
                  <c:v>115.54711093948627</c:v>
                </c:pt>
                <c:pt idx="5">
                  <c:v>127.10182203343491</c:v>
                </c:pt>
                <c:pt idx="6">
                  <c:v>138.65653312738354</c:v>
                </c:pt>
                <c:pt idx="7">
                  <c:v>150.21124422133215</c:v>
                </c:pt>
                <c:pt idx="8">
                  <c:v>161.76595531528079</c:v>
                </c:pt>
                <c:pt idx="9">
                  <c:v>173.32066640922943</c:v>
                </c:pt>
                <c:pt idx="10">
                  <c:v>184.87537750317804</c:v>
                </c:pt>
              </c:numCache>
            </c:numRef>
          </c:xVal>
          <c:yVal>
            <c:numRef>
              <c:f>'ACT 13'!$D$4:$D$14</c:f>
              <c:numCache>
                <c:formatCode>0.00</c:formatCode>
                <c:ptCount val="11"/>
                <c:pt idx="0">
                  <c:v>35.326584578947916</c:v>
                </c:pt>
                <c:pt idx="1">
                  <c:v>36.311049100345812</c:v>
                </c:pt>
                <c:pt idx="2">
                  <c:v>39.867103755529143</c:v>
                </c:pt>
                <c:pt idx="3">
                  <c:v>45.901675565882861</c:v>
                </c:pt>
                <c:pt idx="4">
                  <c:v>54.450615592155515</c:v>
                </c:pt>
                <c:pt idx="5">
                  <c:v>65.620097098384974</c:v>
                </c:pt>
                <c:pt idx="6">
                  <c:v>79.557314633861097</c:v>
                </c:pt>
                <c:pt idx="7">
                  <c:v>96.43470661572124</c:v>
                </c:pt>
                <c:pt idx="8">
                  <c:v>116.44093966186172</c:v>
                </c:pt>
                <c:pt idx="9">
                  <c:v>139.77549919068503</c:v>
                </c:pt>
                <c:pt idx="10">
                  <c:v>166.64530854594148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D2-4F90-B755-C3EF4848B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440729"/>
        <c:axId val="88867535"/>
      </c:scatterChart>
      <c:valAx>
        <c:axId val="34440729"/>
        <c:scaling>
          <c:orientation val="minMax"/>
          <c:max val="26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88867535"/>
        <c:crosses val="autoZero"/>
        <c:crossBetween val="midCat"/>
        <c:majorUnit val="20"/>
      </c:valAx>
      <c:valAx>
        <c:axId val="88867535"/>
        <c:scaling>
          <c:orientation val="minMax"/>
          <c:max val="20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440729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PH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PH" sz="1400" b="0" strike="noStrike" spc="-1">
                <a:solidFill>
                  <a:srgbClr val="595959"/>
                </a:solidFill>
                <a:latin typeface="Calibri"/>
              </a:rPr>
              <a:t>H = 11,386.40  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"v vs thp av"</c:f>
              <c:strCache>
                <c:ptCount val="1"/>
                <c:pt idx="0">
                  <c:v>v vs thp av</c:v>
                </c:pt>
              </c:strCache>
            </c:strRef>
          </c:tx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13'!$A$4:$A$14</c:f>
              <c:numCache>
                <c:formatCode>General</c:formatCode>
                <c:ptCount val="11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</c:numCache>
            </c:numRef>
          </c:xVal>
          <c:yVal>
            <c:numRef>
              <c:f>'ACT 13'!$W$4:$W$14</c:f>
              <c:numCache>
                <c:formatCode>0.00</c:formatCode>
                <c:ptCount val="11"/>
                <c:pt idx="0">
                  <c:v>32.065714844659759</c:v>
                </c:pt>
                <c:pt idx="1">
                  <c:v>36.897182336709456</c:v>
                </c:pt>
                <c:pt idx="2">
                  <c:v>41.100881335701942</c:v>
                </c:pt>
                <c:pt idx="3">
                  <c:v>45.343475442960681</c:v>
                </c:pt>
                <c:pt idx="4">
                  <c:v>48.747120408604786</c:v>
                </c:pt>
                <c:pt idx="5">
                  <c:v>51.880919070946021</c:v>
                </c:pt>
                <c:pt idx="6">
                  <c:v>53.840528148133863</c:v>
                </c:pt>
                <c:pt idx="7">
                  <c:v>54.841176080030671</c:v>
                </c:pt>
                <c:pt idx="8">
                  <c:v>55.215072589042094</c:v>
                </c:pt>
                <c:pt idx="9">
                  <c:v>55.53503535232224</c:v>
                </c:pt>
                <c:pt idx="10">
                  <c:v>54.673376007016593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EE-4A20-9F71-084F5D0FF14B}"/>
            </c:ext>
          </c:extLst>
        </c:ser>
        <c:ser>
          <c:idx val="1"/>
          <c:order val="1"/>
          <c:tx>
            <c:strRef>
              <c:f>"v vs thp reqd"</c:f>
              <c:strCache>
                <c:ptCount val="1"/>
                <c:pt idx="0">
                  <c:v>v vs thp reqd</c:v>
                </c:pt>
              </c:strCache>
            </c:strRef>
          </c:tx>
          <c:spPr>
            <a:ln w="1908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13'!$A$4:$A$14</c:f>
              <c:numCache>
                <c:formatCode>General</c:formatCode>
                <c:ptCount val="11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</c:numCache>
            </c:numRef>
          </c:xVal>
          <c:yVal>
            <c:numRef>
              <c:f>'ACT 13'!$F$4:$F$14</c:f>
              <c:numCache>
                <c:formatCode>0.00</c:formatCode>
                <c:ptCount val="11"/>
                <c:pt idx="0">
                  <c:v>36.36075172237706</c:v>
                </c:pt>
                <c:pt idx="1">
                  <c:v>37.374035923742213</c:v>
                </c:pt>
                <c:pt idx="2">
                  <c:v>41.034192204612289</c:v>
                </c:pt>
                <c:pt idx="3">
                  <c:v>47.245422923980676</c:v>
                </c:pt>
                <c:pt idx="4">
                  <c:v>56.044628663502792</c:v>
                </c:pt>
                <c:pt idx="5">
                  <c:v>67.541090853558828</c:v>
                </c:pt>
                <c:pt idx="6">
                  <c:v>81.886313086285057</c:v>
                </c:pt>
                <c:pt idx="7">
                  <c:v>99.257781822590786</c:v>
                </c:pt>
                <c:pt idx="8">
                  <c:v>119.84968679616789</c:v>
                </c:pt>
                <c:pt idx="9">
                  <c:v>143.86735325589675</c:v>
                </c:pt>
                <c:pt idx="10">
                  <c:v>171.52376211734975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EE-4A20-9F71-084F5D0F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6699"/>
        <c:axId val="35218290"/>
      </c:scatterChart>
      <c:valAx>
        <c:axId val="38886699"/>
        <c:scaling>
          <c:orientation val="minMax"/>
          <c:max val="260"/>
          <c:min val="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5218290"/>
        <c:crosses val="autoZero"/>
        <c:crossBetween val="midCat"/>
        <c:majorUnit val="20"/>
      </c:valAx>
      <c:valAx>
        <c:axId val="35218290"/>
        <c:scaling>
          <c:orientation val="minMax"/>
          <c:max val="2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88866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R.C. vs V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266585266585301E-2"/>
          <c:y val="4.63182046318205E-2"/>
          <c:w val="0.87037037037037002"/>
          <c:h val="0.900910590091059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13'!$AA$2:$AA$8</c:f>
              <c:numCache>
                <c:formatCode>_(* #,##0.00_);_(* \(#,##0.00\);_(* \-??_);_(@_)</c:formatCode>
                <c:ptCount val="7"/>
                <c:pt idx="0">
                  <c:v>69.33</c:v>
                </c:pt>
                <c:pt idx="1">
                  <c:v>80.88</c:v>
                </c:pt>
                <c:pt idx="2">
                  <c:v>92.44</c:v>
                </c:pt>
                <c:pt idx="3">
                  <c:v>103.99</c:v>
                </c:pt>
                <c:pt idx="4">
                  <c:v>115.547110939486</c:v>
                </c:pt>
                <c:pt idx="5">
                  <c:v>122.79</c:v>
                </c:pt>
                <c:pt idx="6">
                  <c:v>127.101822033435</c:v>
                </c:pt>
              </c:numCache>
            </c:numRef>
          </c:xVal>
          <c:yVal>
            <c:numRef>
              <c:f>'ACT 13'!$AE$2:$AE$8</c:f>
              <c:numCache>
                <c:formatCode>0.00</c:formatCode>
                <c:ptCount val="7"/>
                <c:pt idx="0">
                  <c:v>0</c:v>
                </c:pt>
                <c:pt idx="1">
                  <c:v>152.38286789433928</c:v>
                </c:pt>
                <c:pt idx="2">
                  <c:v>179.23703357875323</c:v>
                </c:pt>
                <c:pt idx="3">
                  <c:v>154.0560244815494</c:v>
                </c:pt>
                <c:pt idx="4">
                  <c:v>74.47769490583083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6-4F1E-B3E0-A64455160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6552"/>
        <c:axId val="52068347"/>
      </c:scatterChart>
      <c:valAx>
        <c:axId val="6896552"/>
        <c:scaling>
          <c:orientation val="minMax"/>
          <c:min val="-2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</a:t>
                </a:r>
              </a:p>
            </c:rich>
          </c:tx>
          <c:overlay val="0"/>
        </c:title>
        <c:numFmt formatCode="#,##0.00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2068347"/>
        <c:crosses val="autoZero"/>
        <c:crossBetween val="midCat"/>
      </c:valAx>
      <c:valAx>
        <c:axId val="52068347"/>
        <c:scaling>
          <c:orientation val="minMax"/>
          <c:min val="-2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Rate of Climb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low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6896552"/>
        <c:crosses val="autoZero"/>
        <c:crossBetween val="midCat"/>
        <c:majorUnit val="2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9033557046979896E-2"/>
          <c:y val="7.4512931525578197E-2"/>
          <c:w val="0.88928859060402698"/>
          <c:h val="0.87871710151532401"/>
        </c:manualLayout>
      </c:layout>
      <c:scatterChart>
        <c:scatterStyle val="lineMarker"/>
        <c:varyColors val="0"/>
        <c:ser>
          <c:idx val="0"/>
          <c:order val="0"/>
          <c:spPr>
            <a:ln w="19080" cap="rnd">
              <a:solidFill>
                <a:srgbClr val="FFFF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'ACT 13'!$AE$43:$AE$63</c:f>
              <c:numCache>
                <c:formatCode>General</c:formatCode>
                <c:ptCount val="2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</c:numCache>
            </c:numRef>
          </c:xVal>
          <c:yVal>
            <c:numRef>
              <c:f>'ACT 13'!$AF$43:$AF$63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5B-4B98-ACB4-49372F720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593"/>
        <c:axId val="49921631"/>
      </c:scatterChart>
      <c:valAx>
        <c:axId val="3789593"/>
        <c:scaling>
          <c:orientation val="minMax"/>
          <c:max val="850"/>
          <c:min val="0"/>
        </c:scaling>
        <c:delete val="0"/>
        <c:axPos val="b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9921631"/>
        <c:crosses val="autoZero"/>
        <c:crossBetween val="midCat"/>
        <c:majorUnit val="50"/>
      </c:valAx>
      <c:valAx>
        <c:axId val="49921631"/>
        <c:scaling>
          <c:orientation val="minMax"/>
          <c:max val="20000"/>
        </c:scaling>
        <c:delete val="0"/>
        <c:axPos val="l"/>
        <c:majorGridlines>
          <c:spPr>
            <a:ln w="9360">
              <a:solidFill>
                <a:srgbClr val="000000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789593"/>
        <c:crosses val="autoZero"/>
        <c:crossBetween val="midCat"/>
        <c:majorUnit val="1000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image" Target="../media/image2.png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71280</xdr:colOff>
      <xdr:row>9</xdr:row>
      <xdr:rowOff>36360</xdr:rowOff>
    </xdr:from>
    <xdr:to>
      <xdr:col>35</xdr:col>
      <xdr:colOff>825840</xdr:colOff>
      <xdr:row>30</xdr:row>
      <xdr:rowOff>29160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282240</xdr:colOff>
      <xdr:row>66</xdr:row>
      <xdr:rowOff>31680</xdr:rowOff>
    </xdr:from>
    <xdr:to>
      <xdr:col>25</xdr:col>
      <xdr:colOff>175320</xdr:colOff>
      <xdr:row>81</xdr:row>
      <xdr:rowOff>146160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23</xdr:row>
      <xdr:rowOff>0</xdr:rowOff>
    </xdr:from>
    <xdr:to>
      <xdr:col>14</xdr:col>
      <xdr:colOff>75600</xdr:colOff>
      <xdr:row>23</xdr:row>
      <xdr:rowOff>189720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17200" y="5848200"/>
          <a:ext cx="75600" cy="1897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14</xdr:col>
      <xdr:colOff>0</xdr:colOff>
      <xdr:row>25</xdr:row>
      <xdr:rowOff>0</xdr:rowOff>
    </xdr:from>
    <xdr:to>
      <xdr:col>14</xdr:col>
      <xdr:colOff>75600</xdr:colOff>
      <xdr:row>25</xdr:row>
      <xdr:rowOff>189720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17200" y="6429240"/>
          <a:ext cx="75600" cy="189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954000</xdr:colOff>
      <xdr:row>23</xdr:row>
      <xdr:rowOff>9720</xdr:rowOff>
    </xdr:from>
    <xdr:to>
      <xdr:col>12</xdr:col>
      <xdr:colOff>320400</xdr:colOff>
      <xdr:row>47</xdr:row>
      <xdr:rowOff>63000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315360</xdr:colOff>
      <xdr:row>23</xdr:row>
      <xdr:rowOff>9360</xdr:rowOff>
    </xdr:from>
    <xdr:to>
      <xdr:col>12</xdr:col>
      <xdr:colOff>835920</xdr:colOff>
      <xdr:row>47</xdr:row>
      <xdr:rowOff>74160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26640</xdr:colOff>
      <xdr:row>38</xdr:row>
      <xdr:rowOff>242280</xdr:rowOff>
    </xdr:from>
    <xdr:to>
      <xdr:col>21</xdr:col>
      <xdr:colOff>307440</xdr:colOff>
      <xdr:row>67</xdr:row>
      <xdr:rowOff>89640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228600</xdr:colOff>
      <xdr:row>4</xdr:row>
      <xdr:rowOff>371520</xdr:rowOff>
    </xdr:from>
    <xdr:to>
      <xdr:col>19</xdr:col>
      <xdr:colOff>370800</xdr:colOff>
      <xdr:row>5</xdr:row>
      <xdr:rowOff>199440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804160" y="151452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20</xdr:col>
      <xdr:colOff>228600</xdr:colOff>
      <xdr:row>4</xdr:row>
      <xdr:rowOff>181080</xdr:rowOff>
    </xdr:from>
    <xdr:to>
      <xdr:col>20</xdr:col>
      <xdr:colOff>370800</xdr:colOff>
      <xdr:row>5</xdr:row>
      <xdr:rowOff>9000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8428400" y="132408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227160</xdr:colOff>
      <xdr:row>4</xdr:row>
      <xdr:rowOff>373680</xdr:rowOff>
    </xdr:from>
    <xdr:to>
      <xdr:col>28</xdr:col>
      <xdr:colOff>369360</xdr:colOff>
      <xdr:row>5</xdr:row>
      <xdr:rowOff>204480</xdr:rowOff>
    </xdr:to>
    <xdr:pic>
      <xdr:nvPicPr>
        <xdr:cNvPr id="9" name="Picture 6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25840" y="1516680"/>
          <a:ext cx="142200" cy="2116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241920</xdr:colOff>
      <xdr:row>4</xdr:row>
      <xdr:rowOff>205200</xdr:rowOff>
    </xdr:from>
    <xdr:to>
      <xdr:col>29</xdr:col>
      <xdr:colOff>384120</xdr:colOff>
      <xdr:row>5</xdr:row>
      <xdr:rowOff>33120</xdr:rowOff>
    </xdr:to>
    <xdr:pic>
      <xdr:nvPicPr>
        <xdr:cNvPr id="10" name="Picture 7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64840" y="13482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219960</xdr:colOff>
      <xdr:row>27</xdr:row>
      <xdr:rowOff>0</xdr:rowOff>
    </xdr:from>
    <xdr:to>
      <xdr:col>28</xdr:col>
      <xdr:colOff>362160</xdr:colOff>
      <xdr:row>27</xdr:row>
      <xdr:rowOff>208800</xdr:rowOff>
    </xdr:to>
    <xdr:pic>
      <xdr:nvPicPr>
        <xdr:cNvPr id="11" name="Picture 1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18640" y="637236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234360</xdr:colOff>
      <xdr:row>26</xdr:row>
      <xdr:rowOff>227160</xdr:rowOff>
    </xdr:from>
    <xdr:to>
      <xdr:col>29</xdr:col>
      <xdr:colOff>376560</xdr:colOff>
      <xdr:row>27</xdr:row>
      <xdr:rowOff>47520</xdr:rowOff>
    </xdr:to>
    <xdr:pic>
      <xdr:nvPicPr>
        <xdr:cNvPr id="12" name="Picture 15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57280" y="6208920"/>
          <a:ext cx="142200" cy="2109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219960</xdr:colOff>
      <xdr:row>48</xdr:row>
      <xdr:rowOff>14760</xdr:rowOff>
    </xdr:from>
    <xdr:to>
      <xdr:col>28</xdr:col>
      <xdr:colOff>362160</xdr:colOff>
      <xdr:row>48</xdr:row>
      <xdr:rowOff>223560</xdr:rowOff>
    </xdr:to>
    <xdr:pic>
      <xdr:nvPicPr>
        <xdr:cNvPr id="13" name="Picture 16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18640" y="120258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241920</xdr:colOff>
      <xdr:row>47</xdr:row>
      <xdr:rowOff>227160</xdr:rowOff>
    </xdr:from>
    <xdr:to>
      <xdr:col>29</xdr:col>
      <xdr:colOff>384120</xdr:colOff>
      <xdr:row>48</xdr:row>
      <xdr:rowOff>128160</xdr:rowOff>
    </xdr:to>
    <xdr:pic>
      <xdr:nvPicPr>
        <xdr:cNvPr id="14" name="Picture 17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64840" y="11933280"/>
          <a:ext cx="142200" cy="2059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28</xdr:col>
      <xdr:colOff>227160</xdr:colOff>
      <xdr:row>69</xdr:row>
      <xdr:rowOff>14760</xdr:rowOff>
    </xdr:from>
    <xdr:to>
      <xdr:col>28</xdr:col>
      <xdr:colOff>369360</xdr:colOff>
      <xdr:row>69</xdr:row>
      <xdr:rowOff>223560</xdr:rowOff>
    </xdr:to>
    <xdr:pic>
      <xdr:nvPicPr>
        <xdr:cNvPr id="15" name="Picture 18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225840" y="1766448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29</xdr:col>
      <xdr:colOff>227160</xdr:colOff>
      <xdr:row>68</xdr:row>
      <xdr:rowOff>205200</xdr:rowOff>
    </xdr:from>
    <xdr:to>
      <xdr:col>29</xdr:col>
      <xdr:colOff>369360</xdr:colOff>
      <xdr:row>69</xdr:row>
      <xdr:rowOff>106200</xdr:rowOff>
    </xdr:to>
    <xdr:pic>
      <xdr:nvPicPr>
        <xdr:cNvPr id="16" name="Picture 19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850080" y="17550360"/>
          <a:ext cx="142200" cy="2055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86760</xdr:colOff>
      <xdr:row>42</xdr:row>
      <xdr:rowOff>17280</xdr:rowOff>
    </xdr:from>
    <xdr:to>
      <xdr:col>14</xdr:col>
      <xdr:colOff>161640</xdr:colOff>
      <xdr:row>63</xdr:row>
      <xdr:rowOff>33840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30240</xdr:colOff>
      <xdr:row>41</xdr:row>
      <xdr:rowOff>56880</xdr:rowOff>
    </xdr:from>
    <xdr:to>
      <xdr:col>19</xdr:col>
      <xdr:colOff>434625</xdr:colOff>
      <xdr:row>65</xdr:row>
      <xdr:rowOff>55080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0900-000012000000}"/>
            </a:ext>
            <a:ext uri="{147F2762-F138-4A5C-976F-8EAC2B608ADB}">
              <a16:predDERef xmlns:a16="http://schemas.microsoft.com/office/drawing/2014/main" pred="{00000000-0008-0000-09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168120</xdr:colOff>
      <xdr:row>40</xdr:row>
      <xdr:rowOff>186120</xdr:rowOff>
    </xdr:from>
    <xdr:to>
      <xdr:col>25</xdr:col>
      <xdr:colOff>353385</xdr:colOff>
      <xdr:row>64</xdr:row>
      <xdr:rowOff>189720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00000000-0008-0000-0900-000013000000}"/>
            </a:ext>
            <a:ext uri="{147F2762-F138-4A5C-976F-8EAC2B608ADB}">
              <a16:predDERef xmlns:a16="http://schemas.microsoft.com/office/drawing/2014/main" pre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49680</xdr:colOff>
      <xdr:row>41</xdr:row>
      <xdr:rowOff>106200</xdr:rowOff>
    </xdr:from>
    <xdr:to>
      <xdr:col>32</xdr:col>
      <xdr:colOff>261240</xdr:colOff>
      <xdr:row>65</xdr:row>
      <xdr:rowOff>88920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00000000-0008-0000-0900-000014000000}"/>
            </a:ext>
            <a:ext uri="{147F2762-F138-4A5C-976F-8EAC2B608ADB}">
              <a16:predDERef xmlns:a16="http://schemas.microsoft.com/office/drawing/2014/main" pred="{00000000-0008-0000-09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365760</xdr:colOff>
      <xdr:row>41</xdr:row>
      <xdr:rowOff>89640</xdr:rowOff>
    </xdr:from>
    <xdr:to>
      <xdr:col>38</xdr:col>
      <xdr:colOff>248445</xdr:colOff>
      <xdr:row>65</xdr:row>
      <xdr:rowOff>111240</xdr:rowOff>
    </xdr:to>
    <xdr:graphicFrame macro="">
      <xdr:nvGraphicFramePr>
        <xdr:cNvPr id="21" name="Chart 5">
          <a:extLst>
            <a:ext uri="{FF2B5EF4-FFF2-40B4-BE49-F238E27FC236}">
              <a16:creationId xmlns:a16="http://schemas.microsoft.com/office/drawing/2014/main" id="{00000000-0008-0000-0900-000015000000}"/>
            </a:ext>
            <a:ext uri="{147F2762-F138-4A5C-976F-8EAC2B608ADB}">
              <a16:predDERef xmlns:a16="http://schemas.microsoft.com/office/drawing/2014/main" pred="{00000000-0008-0000-09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500400</xdr:colOff>
      <xdr:row>4</xdr:row>
      <xdr:rowOff>81720</xdr:rowOff>
    </xdr:from>
    <xdr:to>
      <xdr:col>9</xdr:col>
      <xdr:colOff>201600</xdr:colOff>
      <xdr:row>30</xdr:row>
      <xdr:rowOff>111240</xdr:rowOff>
    </xdr:to>
    <xdr:graphicFrame macro="">
      <xdr:nvGraphicFramePr>
        <xdr:cNvPr id="22" name="Chart 6">
          <a:extLst>
            <a:ext uri="{FF2B5EF4-FFF2-40B4-BE49-F238E27FC236}">
              <a16:creationId xmlns:a16="http://schemas.microsoft.com/office/drawing/2014/main" id="{00000000-0008-0000-0900-000016000000}"/>
            </a:ext>
            <a:ext uri="{147F2762-F138-4A5C-976F-8EAC2B608ADB}">
              <a16:predDERef xmlns:a16="http://schemas.microsoft.com/office/drawing/2014/main" pred="{00000000-0008-0000-09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57240</xdr:colOff>
      <xdr:row>14</xdr:row>
      <xdr:rowOff>181080</xdr:rowOff>
    </xdr:from>
    <xdr:to>
      <xdr:col>8</xdr:col>
      <xdr:colOff>28080</xdr:colOff>
      <xdr:row>38</xdr:row>
      <xdr:rowOff>9000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235440</xdr:colOff>
      <xdr:row>14</xdr:row>
      <xdr:rowOff>182520</xdr:rowOff>
    </xdr:from>
    <xdr:to>
      <xdr:col>15</xdr:col>
      <xdr:colOff>525600</xdr:colOff>
      <xdr:row>38</xdr:row>
      <xdr:rowOff>19440</xdr:rowOff>
    </xdr:to>
    <xdr:graphicFrame macro="">
      <xdr:nvGraphicFramePr>
        <xdr:cNvPr id="24" name="Chart 2">
          <a:extLst>
            <a:ext uri="{FF2B5EF4-FFF2-40B4-BE49-F238E27FC236}">
              <a16:creationId xmlns:a16="http://schemas.microsoft.com/office/drawing/2014/main" id="{00000000-0008-0000-0A00-000018000000}"/>
            </a:ext>
            <a:ext uri="{147F2762-F138-4A5C-976F-8EAC2B608ADB}">
              <a16:predDERef xmlns:a16="http://schemas.microsoft.com/office/drawing/2014/main" pred="{00000000-0008-0000-0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104775</xdr:colOff>
      <xdr:row>15</xdr:row>
      <xdr:rowOff>38100</xdr:rowOff>
    </xdr:from>
    <xdr:to>
      <xdr:col>26</xdr:col>
      <xdr:colOff>266700</xdr:colOff>
      <xdr:row>40</xdr:row>
      <xdr:rowOff>9525</xdr:rowOff>
    </xdr:to>
    <xdr:graphicFrame macro="">
      <xdr:nvGraphicFramePr>
        <xdr:cNvPr id="25" name="Chart 3">
          <a:extLst>
            <a:ext uri="{FF2B5EF4-FFF2-40B4-BE49-F238E27FC236}">
              <a16:creationId xmlns:a16="http://schemas.microsoft.com/office/drawing/2014/main" id="{00000000-0008-0000-0A00-000019000000}"/>
            </a:ext>
            <a:ext uri="{147F2762-F138-4A5C-976F-8EAC2B608ADB}">
              <a16:predDERef xmlns:a16="http://schemas.microsoft.com/office/drawing/2014/main" pred="{00000000-0008-0000-0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32</xdr:col>
      <xdr:colOff>245160</xdr:colOff>
      <xdr:row>34</xdr:row>
      <xdr:rowOff>180720</xdr:rowOff>
    </xdr:from>
    <xdr:to>
      <xdr:col>42</xdr:col>
      <xdr:colOff>416880</xdr:colOff>
      <xdr:row>68</xdr:row>
      <xdr:rowOff>22680</xdr:rowOff>
    </xdr:to>
    <xdr:graphicFrame macro="">
      <xdr:nvGraphicFramePr>
        <xdr:cNvPr id="26" name="Chart 4">
          <a:extLst>
            <a:ext uri="{FF2B5EF4-FFF2-40B4-BE49-F238E27FC236}">
              <a16:creationId xmlns:a16="http://schemas.microsoft.com/office/drawing/2014/main" id="{00000000-0008-0000-0A00-00001A000000}"/>
            </a:ext>
            <a:ext uri="{147F2762-F138-4A5C-976F-8EAC2B608ADB}">
              <a16:predDERef xmlns:a16="http://schemas.microsoft.com/office/drawing/2014/main" pred="{00000000-0008-0000-0A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257040</xdr:colOff>
      <xdr:row>2</xdr:row>
      <xdr:rowOff>324000</xdr:rowOff>
    </xdr:from>
    <xdr:to>
      <xdr:col>12</xdr:col>
      <xdr:colOff>399240</xdr:colOff>
      <xdr:row>2</xdr:row>
      <xdr:rowOff>532800</xdr:rowOff>
    </xdr:to>
    <xdr:pic>
      <xdr:nvPicPr>
        <xdr:cNvPr id="27" name="Picture 5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647840" y="7146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13</xdr:col>
      <xdr:colOff>247680</xdr:colOff>
      <xdr:row>2</xdr:row>
      <xdr:rowOff>209520</xdr:rowOff>
    </xdr:from>
    <xdr:to>
      <xdr:col>13</xdr:col>
      <xdr:colOff>389880</xdr:colOff>
      <xdr:row>2</xdr:row>
      <xdr:rowOff>418320</xdr:rowOff>
    </xdr:to>
    <xdr:pic>
      <xdr:nvPicPr>
        <xdr:cNvPr id="28" name="Picture 6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8250120" y="60012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20</xdr:col>
      <xdr:colOff>257040</xdr:colOff>
      <xdr:row>2</xdr:row>
      <xdr:rowOff>324000</xdr:rowOff>
    </xdr:from>
    <xdr:to>
      <xdr:col>20</xdr:col>
      <xdr:colOff>399240</xdr:colOff>
      <xdr:row>2</xdr:row>
      <xdr:rowOff>532800</xdr:rowOff>
    </xdr:to>
    <xdr:pic>
      <xdr:nvPicPr>
        <xdr:cNvPr id="29" name="Picture 7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2539880" y="714600"/>
          <a:ext cx="142200" cy="20880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21</xdr:col>
      <xdr:colOff>247680</xdr:colOff>
      <xdr:row>2</xdr:row>
      <xdr:rowOff>209520</xdr:rowOff>
    </xdr:from>
    <xdr:to>
      <xdr:col>21</xdr:col>
      <xdr:colOff>389880</xdr:colOff>
      <xdr:row>2</xdr:row>
      <xdr:rowOff>418320</xdr:rowOff>
    </xdr:to>
    <xdr:pic>
      <xdr:nvPicPr>
        <xdr:cNvPr id="30" name="Picture 8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13142160" y="600120"/>
          <a:ext cx="142200" cy="20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906840</xdr:colOff>
      <xdr:row>2</xdr:row>
      <xdr:rowOff>175320</xdr:rowOff>
    </xdr:from>
    <xdr:to>
      <xdr:col>0</xdr:col>
      <xdr:colOff>1241280</xdr:colOff>
      <xdr:row>4</xdr:row>
      <xdr:rowOff>14760</xdr:rowOff>
    </xdr:to>
    <xdr:pic>
      <xdr:nvPicPr>
        <xdr:cNvPr id="31" name="Picture 1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6840" y="556200"/>
          <a:ext cx="334440" cy="2588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1203840</xdr:colOff>
      <xdr:row>8</xdr:row>
      <xdr:rowOff>160200</xdr:rowOff>
    </xdr:from>
    <xdr:to>
      <xdr:col>0</xdr:col>
      <xdr:colOff>1332720</xdr:colOff>
      <xdr:row>9</xdr:row>
      <xdr:rowOff>190080</xdr:rowOff>
    </xdr:to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03840" y="1760400"/>
          <a:ext cx="128880" cy="22032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3</xdr:col>
      <xdr:colOff>167760</xdr:colOff>
      <xdr:row>9</xdr:row>
      <xdr:rowOff>175320</xdr:rowOff>
    </xdr:from>
    <xdr:to>
      <xdr:col>3</xdr:col>
      <xdr:colOff>380520</xdr:colOff>
      <xdr:row>11</xdr:row>
      <xdr:rowOff>6840</xdr:rowOff>
    </xdr:to>
    <xdr:pic>
      <xdr:nvPicPr>
        <xdr:cNvPr id="33" name="Picture 3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105360" y="1965960"/>
          <a:ext cx="212760" cy="212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213480</xdr:colOff>
      <xdr:row>1</xdr:row>
      <xdr:rowOff>7560</xdr:rowOff>
    </xdr:from>
    <xdr:to>
      <xdr:col>5</xdr:col>
      <xdr:colOff>403200</xdr:colOff>
      <xdr:row>2</xdr:row>
      <xdr:rowOff>29880</xdr:rowOff>
    </xdr:to>
    <xdr:pic>
      <xdr:nvPicPr>
        <xdr:cNvPr id="34" name="Picture 4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4285800" y="198000"/>
          <a:ext cx="189720" cy="212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213480</xdr:colOff>
      <xdr:row>2</xdr:row>
      <xdr:rowOff>7560</xdr:rowOff>
    </xdr:from>
    <xdr:to>
      <xdr:col>5</xdr:col>
      <xdr:colOff>441360</xdr:colOff>
      <xdr:row>3</xdr:row>
      <xdr:rowOff>14400</xdr:rowOff>
    </xdr:to>
    <xdr:pic>
      <xdr:nvPicPr>
        <xdr:cNvPr id="35" name="Picture 5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4285800" y="388440"/>
          <a:ext cx="227880" cy="2354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114480</xdr:colOff>
      <xdr:row>3</xdr:row>
      <xdr:rowOff>7560</xdr:rowOff>
    </xdr:from>
    <xdr:to>
      <xdr:col>5</xdr:col>
      <xdr:colOff>570960</xdr:colOff>
      <xdr:row>5</xdr:row>
      <xdr:rowOff>29880</xdr:rowOff>
    </xdr:to>
    <xdr:pic>
      <xdr:nvPicPr>
        <xdr:cNvPr id="36" name="Picture 6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186800" y="617040"/>
          <a:ext cx="456480" cy="4035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152280</xdr:colOff>
      <xdr:row>6</xdr:row>
      <xdr:rowOff>7560</xdr:rowOff>
    </xdr:from>
    <xdr:to>
      <xdr:col>5</xdr:col>
      <xdr:colOff>334440</xdr:colOff>
      <xdr:row>7</xdr:row>
      <xdr:rowOff>14400</xdr:rowOff>
    </xdr:to>
    <xdr:pic>
      <xdr:nvPicPr>
        <xdr:cNvPr id="37" name="Picture 7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4224600" y="1226880"/>
          <a:ext cx="182160" cy="1972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122040</xdr:colOff>
      <xdr:row>6</xdr:row>
      <xdr:rowOff>167760</xdr:rowOff>
    </xdr:from>
    <xdr:to>
      <xdr:col>5</xdr:col>
      <xdr:colOff>380520</xdr:colOff>
      <xdr:row>7</xdr:row>
      <xdr:rowOff>174600</xdr:rowOff>
    </xdr:to>
    <xdr:pic>
      <xdr:nvPicPr>
        <xdr:cNvPr id="38" name="Picture 8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194360" y="1387080"/>
          <a:ext cx="258480" cy="1972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205920</xdr:colOff>
      <xdr:row>10</xdr:row>
      <xdr:rowOff>0</xdr:rowOff>
    </xdr:from>
    <xdr:to>
      <xdr:col>5</xdr:col>
      <xdr:colOff>327240</xdr:colOff>
      <xdr:row>11</xdr:row>
      <xdr:rowOff>6840</xdr:rowOff>
    </xdr:to>
    <xdr:pic>
      <xdr:nvPicPr>
        <xdr:cNvPr id="39" name="Picture 9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278240" y="1981080"/>
          <a:ext cx="121320" cy="1976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5</xdr:col>
      <xdr:colOff>122040</xdr:colOff>
      <xdr:row>11</xdr:row>
      <xdr:rowOff>45720</xdr:rowOff>
    </xdr:from>
    <xdr:to>
      <xdr:col>5</xdr:col>
      <xdr:colOff>410760</xdr:colOff>
      <xdr:row>12</xdr:row>
      <xdr:rowOff>68040</xdr:rowOff>
    </xdr:to>
    <xdr:pic>
      <xdr:nvPicPr>
        <xdr:cNvPr id="40" name="Picture 10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4194360" y="2217600"/>
          <a:ext cx="288720" cy="212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9</xdr:col>
      <xdr:colOff>211680</xdr:colOff>
      <xdr:row>1</xdr:row>
      <xdr:rowOff>0</xdr:rowOff>
    </xdr:from>
    <xdr:to>
      <xdr:col>9</xdr:col>
      <xdr:colOff>333000</xdr:colOff>
      <xdr:row>2</xdr:row>
      <xdr:rowOff>6840</xdr:rowOff>
    </xdr:to>
    <xdr:pic>
      <xdr:nvPicPr>
        <xdr:cNvPr id="41" name="Picture 11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7105320" y="190440"/>
          <a:ext cx="121320" cy="19728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9</xdr:col>
      <xdr:colOff>152280</xdr:colOff>
      <xdr:row>2</xdr:row>
      <xdr:rowOff>186120</xdr:rowOff>
    </xdr:from>
    <xdr:to>
      <xdr:col>9</xdr:col>
      <xdr:colOff>403200</xdr:colOff>
      <xdr:row>3</xdr:row>
      <xdr:rowOff>184680</xdr:rowOff>
    </xdr:to>
    <xdr:pic>
      <xdr:nvPicPr>
        <xdr:cNvPr id="42" name="Picture 12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7045920" y="567000"/>
          <a:ext cx="250920" cy="227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9</xdr:col>
      <xdr:colOff>219960</xdr:colOff>
      <xdr:row>10</xdr:row>
      <xdr:rowOff>67680</xdr:rowOff>
    </xdr:from>
    <xdr:to>
      <xdr:col>9</xdr:col>
      <xdr:colOff>501120</xdr:colOff>
      <xdr:row>11</xdr:row>
      <xdr:rowOff>90000</xdr:rowOff>
    </xdr:to>
    <xdr:pic>
      <xdr:nvPicPr>
        <xdr:cNvPr id="43" name="Picture 13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7113600" y="2048760"/>
          <a:ext cx="281160" cy="21312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in%20Excel%20for%20AIRDESIGNL2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in%20Excel%20for%20AIRDESIGN1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863397A021787A06" itemId="863397A021787A06!sabeb717a74294c23b763b235d20cbc87"/>
    <sheetNames>
      <sheetName val="ACT 1"/>
      <sheetName val="ACT 2"/>
      <sheetName val="ACT 2 v2"/>
      <sheetName val="ACT 3"/>
      <sheetName val="ACT 4"/>
      <sheetName val="ACT 5"/>
      <sheetName val="ACT 6"/>
      <sheetName val="ACT 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 3"/>
      <sheetName val="ACT 9"/>
      <sheetName val="ACT 11"/>
      <sheetName val="ACT 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2BCD-965F-4873-99F6-8A8F07FCB9FE}">
  <sheetPr>
    <tabColor theme="4"/>
  </sheetPr>
  <dimension ref="B2:C38"/>
  <sheetViews>
    <sheetView workbookViewId="0">
      <selection activeCell="B29" sqref="B29"/>
    </sheetView>
  </sheetViews>
  <sheetFormatPr defaultRowHeight="15"/>
  <cols>
    <col min="2" max="2" width="31.28515625" customWidth="1"/>
    <col min="3" max="3" width="42.5703125" customWidth="1"/>
  </cols>
  <sheetData>
    <row r="2" spans="2:3" ht="26.25">
      <c r="B2" s="371" t="s">
        <v>0</v>
      </c>
    </row>
    <row r="3" spans="2:3" ht="18">
      <c r="B3" s="378" t="s">
        <v>1</v>
      </c>
    </row>
    <row r="5" spans="2:3">
      <c r="B5" s="372" t="s">
        <v>2</v>
      </c>
      <c r="C5" s="373" t="s">
        <v>3</v>
      </c>
    </row>
    <row r="6" spans="2:3">
      <c r="B6" s="372"/>
      <c r="C6" s="373"/>
    </row>
    <row r="7" spans="2:3" ht="16.5">
      <c r="B7" s="374" t="s">
        <v>4</v>
      </c>
    </row>
    <row r="8" spans="2:3">
      <c r="B8" s="375" t="s">
        <v>5</v>
      </c>
      <c r="C8" s="373" t="s">
        <v>6</v>
      </c>
    </row>
    <row r="9" spans="2:3">
      <c r="B9" s="375" t="s">
        <v>7</v>
      </c>
      <c r="C9" s="373" t="s">
        <v>8</v>
      </c>
    </row>
    <row r="10" spans="2:3">
      <c r="B10" s="375" t="s">
        <v>9</v>
      </c>
      <c r="C10" s="373" t="s">
        <v>10</v>
      </c>
    </row>
    <row r="11" spans="2:3">
      <c r="B11" s="375" t="s">
        <v>11</v>
      </c>
      <c r="C11" s="373" t="s">
        <v>12</v>
      </c>
    </row>
    <row r="12" spans="2:3">
      <c r="B12" s="375" t="s">
        <v>13</v>
      </c>
      <c r="C12" s="373" t="s">
        <v>14</v>
      </c>
    </row>
    <row r="13" spans="2:3">
      <c r="B13" s="375" t="s">
        <v>15</v>
      </c>
      <c r="C13" s="373" t="s">
        <v>16</v>
      </c>
    </row>
    <row r="14" spans="2:3">
      <c r="B14" s="375" t="s">
        <v>17</v>
      </c>
      <c r="C14" s="373" t="s">
        <v>18</v>
      </c>
    </row>
    <row r="15" spans="2:3">
      <c r="B15" s="375" t="s">
        <v>19</v>
      </c>
      <c r="C15" s="373" t="s">
        <v>20</v>
      </c>
    </row>
    <row r="16" spans="2:3">
      <c r="B16" s="375" t="s">
        <v>21</v>
      </c>
      <c r="C16" s="373" t="s">
        <v>22</v>
      </c>
    </row>
    <row r="17" spans="2:3">
      <c r="B17" s="375" t="s">
        <v>23</v>
      </c>
      <c r="C17" s="373" t="s">
        <v>24</v>
      </c>
    </row>
    <row r="18" spans="2:3">
      <c r="B18" s="375" t="s">
        <v>25</v>
      </c>
      <c r="C18" s="373" t="s">
        <v>26</v>
      </c>
    </row>
    <row r="19" spans="2:3">
      <c r="B19" s="375" t="s">
        <v>27</v>
      </c>
      <c r="C19" s="373" t="s">
        <v>28</v>
      </c>
    </row>
    <row r="21" spans="2:3" ht="16.5">
      <c r="B21" s="374" t="s">
        <v>29</v>
      </c>
    </row>
    <row r="22" spans="2:3">
      <c r="B22" s="375" t="s">
        <v>30</v>
      </c>
      <c r="C22" s="373" t="s">
        <v>31</v>
      </c>
    </row>
    <row r="23" spans="2:3">
      <c r="B23" s="375" t="s">
        <v>32</v>
      </c>
      <c r="C23" s="373" t="s">
        <v>33</v>
      </c>
    </row>
    <row r="24" spans="2:3">
      <c r="B24" s="375" t="s">
        <v>34</v>
      </c>
      <c r="C24" s="373" t="s">
        <v>35</v>
      </c>
    </row>
    <row r="25" spans="2:3">
      <c r="B25" s="375" t="s">
        <v>36</v>
      </c>
      <c r="C25" s="373" t="s">
        <v>37</v>
      </c>
    </row>
    <row r="26" spans="2:3">
      <c r="B26" s="375" t="s">
        <v>38</v>
      </c>
      <c r="C26" s="373" t="s">
        <v>39</v>
      </c>
    </row>
    <row r="27" spans="2:3">
      <c r="B27" s="375" t="s">
        <v>40</v>
      </c>
      <c r="C27" s="373" t="s">
        <v>41</v>
      </c>
    </row>
    <row r="28" spans="2:3">
      <c r="B28" s="375" t="s">
        <v>42</v>
      </c>
      <c r="C28" s="373" t="s">
        <v>43</v>
      </c>
    </row>
    <row r="29" spans="2:3">
      <c r="B29" s="375" t="s">
        <v>44</v>
      </c>
      <c r="C29" s="373" t="s">
        <v>45</v>
      </c>
    </row>
    <row r="34" spans="2:2">
      <c r="B34" s="376"/>
    </row>
    <row r="35" spans="2:2">
      <c r="B35" s="377"/>
    </row>
    <row r="36" spans="2:2">
      <c r="B36" s="377"/>
    </row>
    <row r="37" spans="2:2">
      <c r="B37" s="377"/>
    </row>
    <row r="38" spans="2:2">
      <c r="B38" s="37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9"/>
  <sheetViews>
    <sheetView zoomScale="85" zoomScaleNormal="85" workbookViewId="0">
      <selection activeCell="K24" sqref="K24"/>
    </sheetView>
  </sheetViews>
  <sheetFormatPr defaultColWidth="8.85546875" defaultRowHeight="15"/>
  <cols>
    <col min="6" max="6" width="11" style="1" customWidth="1"/>
    <col min="7" max="7" width="13.85546875" style="1" customWidth="1"/>
    <col min="8" max="8" width="9.7109375" style="1" customWidth="1"/>
    <col min="12" max="12" width="15.42578125" style="1" customWidth="1"/>
    <col min="13" max="13" width="11.7109375" style="1" customWidth="1"/>
    <col min="18" max="18" width="11.7109375" style="1" customWidth="1"/>
    <col min="19" max="19" width="11.85546875" style="1" customWidth="1"/>
    <col min="21" max="21" width="9.7109375" style="1" customWidth="1"/>
    <col min="22" max="22" width="9" style="1" customWidth="1"/>
    <col min="23" max="23" width="18.85546875" bestFit="1" customWidth="1"/>
    <col min="24" max="24" width="9.7109375" style="1" customWidth="1"/>
    <col min="25" max="25" width="9" style="1" customWidth="1"/>
    <col min="29" max="29" width="9" style="1" customWidth="1"/>
    <col min="31" max="31" width="10.7109375" style="1" customWidth="1"/>
    <col min="36" max="36" width="9.7109375" style="1" customWidth="1"/>
    <col min="37" max="37" width="9" style="1" customWidth="1"/>
  </cols>
  <sheetData>
    <row r="1" spans="1:31">
      <c r="A1" s="380" t="s">
        <v>46</v>
      </c>
      <c r="B1" s="381"/>
      <c r="C1" s="308"/>
      <c r="E1" s="396" t="s">
        <v>47</v>
      </c>
      <c r="F1" s="397"/>
      <c r="G1" s="398"/>
      <c r="H1"/>
      <c r="I1" s="388" t="s">
        <v>48</v>
      </c>
      <c r="J1" s="389"/>
      <c r="K1" s="390"/>
      <c r="L1" s="396" t="s">
        <v>49</v>
      </c>
      <c r="M1" s="397"/>
      <c r="N1" s="397"/>
      <c r="O1" s="397" t="s">
        <v>50</v>
      </c>
      <c r="P1" s="397"/>
      <c r="Q1" s="398"/>
      <c r="S1" s="399" t="s">
        <v>51</v>
      </c>
      <c r="T1" s="400"/>
      <c r="U1" s="401"/>
      <c r="V1" s="402" t="s">
        <v>52</v>
      </c>
      <c r="W1" s="400"/>
      <c r="X1" s="401"/>
      <c r="Y1"/>
    </row>
    <row r="2" spans="1:31">
      <c r="A2" s="342" t="s">
        <v>53</v>
      </c>
      <c r="B2" s="339">
        <v>380</v>
      </c>
      <c r="C2" s="2"/>
      <c r="E2" s="411" t="s">
        <v>54</v>
      </c>
      <c r="F2" s="415">
        <f>(B2+B3)/(1-0.5-F7)</f>
        <v>1649.2521457653345</v>
      </c>
      <c r="G2" s="416"/>
      <c r="H2" s="1" t="s">
        <v>55</v>
      </c>
      <c r="I2" s="320"/>
      <c r="J2" s="315" t="s">
        <v>56</v>
      </c>
      <c r="K2" s="328" t="s">
        <v>57</v>
      </c>
      <c r="L2" s="333"/>
      <c r="M2" s="315" t="s">
        <v>56</v>
      </c>
      <c r="N2" s="315" t="s">
        <v>57</v>
      </c>
      <c r="O2" s="315"/>
      <c r="P2" s="315" t="s">
        <v>56</v>
      </c>
      <c r="Q2" s="321" t="s">
        <v>57</v>
      </c>
      <c r="S2" s="340"/>
      <c r="T2" s="340" t="s">
        <v>56</v>
      </c>
      <c r="U2" s="340" t="s">
        <v>57</v>
      </c>
      <c r="V2" s="340"/>
      <c r="W2" s="340" t="s">
        <v>56</v>
      </c>
      <c r="X2" s="340" t="s">
        <v>57</v>
      </c>
      <c r="Y2"/>
    </row>
    <row r="3" spans="1:31">
      <c r="A3" s="343" t="s">
        <v>58</v>
      </c>
      <c r="B3" s="338">
        <v>286</v>
      </c>
      <c r="C3" s="2"/>
      <c r="E3" s="412"/>
      <c r="F3" s="409">
        <f>F2*0.453592</f>
        <v>748.08757930198965</v>
      </c>
      <c r="G3" s="410"/>
      <c r="H3" s="1" t="s">
        <v>59</v>
      </c>
      <c r="I3" s="385" t="s">
        <v>60</v>
      </c>
      <c r="J3" s="386"/>
      <c r="K3" s="387"/>
      <c r="L3" s="421" t="s">
        <v>60</v>
      </c>
      <c r="M3" s="422"/>
      <c r="N3" s="422"/>
      <c r="O3" s="422" t="s">
        <v>60</v>
      </c>
      <c r="P3" s="422"/>
      <c r="Q3" s="423"/>
      <c r="S3" s="422" t="s">
        <v>61</v>
      </c>
      <c r="T3" s="422"/>
      <c r="U3" s="422"/>
      <c r="V3" s="422" t="s">
        <v>62</v>
      </c>
      <c r="W3" s="422"/>
      <c r="X3" s="422"/>
      <c r="Y3"/>
    </row>
    <row r="4" spans="1:31" ht="30.75">
      <c r="A4" s="343" t="s">
        <v>63</v>
      </c>
      <c r="B4" s="338">
        <v>0.5</v>
      </c>
      <c r="C4" s="2"/>
      <c r="E4" s="1"/>
      <c r="G4"/>
      <c r="H4"/>
      <c r="I4" s="322" t="s">
        <v>64</v>
      </c>
      <c r="J4" s="317">
        <f>(2*F2)/(B15*0.002377*(B22^2))</f>
        <v>126.52100068226807</v>
      </c>
      <c r="K4" s="329">
        <f>(0.092903)*J4</f>
        <v>11.754180526384751</v>
      </c>
      <c r="L4" s="323" t="s">
        <v>65</v>
      </c>
      <c r="M4" s="319">
        <f>(B17*J4*J6)/(B29)</f>
        <v>32.801740917625047</v>
      </c>
      <c r="N4" s="319">
        <f>(0.092903)*M4</f>
        <v>3.0473801364701196</v>
      </c>
      <c r="O4" s="318" t="s">
        <v>66</v>
      </c>
      <c r="P4" s="319">
        <f>((J4*0.04*J8)/(2.65*J6))</f>
        <v>12.566161275310549</v>
      </c>
      <c r="Q4" s="324">
        <f>P4*0.092903</f>
        <v>1.167434080960176</v>
      </c>
      <c r="S4" s="332" t="s">
        <v>67</v>
      </c>
      <c r="T4" s="319">
        <f>0.27*J8</f>
        <v>7.7903688391033015</v>
      </c>
      <c r="U4" s="319">
        <f>T4*0.3048</f>
        <v>2.3745044221586866</v>
      </c>
      <c r="V4" s="351" t="s">
        <v>68</v>
      </c>
      <c r="W4" s="319">
        <f>(0.07*J4)</f>
        <v>8.8564700477587657</v>
      </c>
      <c r="X4" s="319">
        <f>W4*0.092903</f>
        <v>0.8227926368469326</v>
      </c>
      <c r="Y4"/>
    </row>
    <row r="5" spans="1:31" ht="15" customHeight="1">
      <c r="A5" s="343" t="s">
        <v>69</v>
      </c>
      <c r="B5" s="338">
        <f>F7</f>
        <v>9.6180607246720826E-2</v>
      </c>
      <c r="C5" s="2"/>
      <c r="E5" s="1"/>
      <c r="G5"/>
      <c r="H5"/>
      <c r="I5" s="385" t="s">
        <v>70</v>
      </c>
      <c r="J5" s="386"/>
      <c r="K5" s="387"/>
      <c r="L5" s="421" t="s">
        <v>71</v>
      </c>
      <c r="M5" s="422"/>
      <c r="N5" s="422"/>
      <c r="O5" s="422" t="s">
        <v>71</v>
      </c>
      <c r="P5" s="422"/>
      <c r="Q5" s="423"/>
      <c r="S5" s="422" t="s">
        <v>71</v>
      </c>
      <c r="T5" s="422"/>
      <c r="U5" s="422"/>
      <c r="V5" s="422" t="s">
        <v>72</v>
      </c>
      <c r="W5" s="422"/>
      <c r="X5" s="422"/>
      <c r="Y5"/>
    </row>
    <row r="6" spans="1:31" ht="15" customHeight="1">
      <c r="A6" s="1"/>
      <c r="B6" s="1"/>
      <c r="C6" s="1"/>
      <c r="E6" s="396" t="s">
        <v>73</v>
      </c>
      <c r="F6" s="397"/>
      <c r="G6" s="398"/>
      <c r="H6"/>
      <c r="I6" s="323" t="s">
        <v>74</v>
      </c>
      <c r="J6" s="319">
        <f>SQRT(J4/B12)</f>
        <v>4.3849875262317353</v>
      </c>
      <c r="K6" s="330">
        <f>J6*0.3048</f>
        <v>1.3365441979954329</v>
      </c>
      <c r="L6" s="323" t="s">
        <v>75</v>
      </c>
      <c r="M6" s="319">
        <f>SQRT(M4*B12)</f>
        <v>14.69133946371034</v>
      </c>
      <c r="N6" s="319">
        <f>M6*0.3048</f>
        <v>4.4779202685389121</v>
      </c>
      <c r="O6" s="314" t="s">
        <v>76</v>
      </c>
      <c r="P6" s="319">
        <f>SQRT(B30*P4)</f>
        <v>4.6219556648704385</v>
      </c>
      <c r="Q6" s="324">
        <f>P6*0.3048</f>
        <v>1.4087720866525097</v>
      </c>
      <c r="S6" s="349" t="s">
        <v>77</v>
      </c>
      <c r="T6" s="319">
        <f>0.28*J14</f>
        <v>5.8370059857429553</v>
      </c>
      <c r="U6" s="319">
        <f>T6*0.3048</f>
        <v>1.7791194244544528</v>
      </c>
      <c r="V6" s="314" t="s">
        <v>78</v>
      </c>
      <c r="W6" s="319">
        <f>0.25*J6</f>
        <v>1.0962468815579338</v>
      </c>
      <c r="X6" s="319">
        <f>W6*0.3048</f>
        <v>0.33413604949885822</v>
      </c>
      <c r="Y6"/>
      <c r="AA6" s="1"/>
      <c r="AB6" s="1"/>
      <c r="AC6"/>
      <c r="AE6"/>
    </row>
    <row r="7" spans="1:31">
      <c r="A7" s="1"/>
      <c r="B7" s="1"/>
      <c r="C7" s="1"/>
      <c r="E7" s="411" t="s">
        <v>69</v>
      </c>
      <c r="F7" s="405">
        <f>B9*(B10/1000)*B11*(B12^-0.5)+0.035</f>
        <v>9.6180607246720826E-2</v>
      </c>
      <c r="G7" s="406"/>
      <c r="H7" s="1" t="s">
        <v>55</v>
      </c>
      <c r="I7" s="421" t="s">
        <v>79</v>
      </c>
      <c r="J7" s="422"/>
      <c r="K7" s="424"/>
      <c r="L7" s="421" t="s">
        <v>70</v>
      </c>
      <c r="M7" s="422"/>
      <c r="N7" s="422"/>
      <c r="O7" s="422" t="s">
        <v>80</v>
      </c>
      <c r="P7" s="422"/>
      <c r="Q7" s="423"/>
      <c r="S7" s="313"/>
      <c r="T7" s="311"/>
      <c r="U7" s="311"/>
      <c r="V7" s="425" t="s">
        <v>81</v>
      </c>
      <c r="W7" s="425"/>
      <c r="X7" s="425"/>
      <c r="Y7"/>
      <c r="AA7" s="1"/>
      <c r="AB7" s="1"/>
      <c r="AC7"/>
      <c r="AE7"/>
    </row>
    <row r="8" spans="1:31" ht="15" customHeight="1">
      <c r="A8" s="383" t="s">
        <v>82</v>
      </c>
      <c r="B8" s="384"/>
      <c r="C8" s="308"/>
      <c r="E8" s="412"/>
      <c r="F8" s="407">
        <f>F7*0.453592</f>
        <v>4.3626754002254589E-2</v>
      </c>
      <c r="G8" s="408"/>
      <c r="H8" s="1" t="s">
        <v>59</v>
      </c>
      <c r="I8" s="323" t="s">
        <v>83</v>
      </c>
      <c r="J8" s="319">
        <f>(B12*J6)</f>
        <v>28.85321792260482</v>
      </c>
      <c r="K8" s="330">
        <f>J8*0.3048</f>
        <v>8.794460822809949</v>
      </c>
      <c r="L8" s="323" t="s">
        <v>84</v>
      </c>
      <c r="M8" s="319">
        <f>SQRT(M4/B13)</f>
        <v>2.8636402059976498</v>
      </c>
      <c r="N8" s="319">
        <f>M8*0.3048</f>
        <v>0.87283753478808368</v>
      </c>
      <c r="O8" s="318" t="s">
        <v>85</v>
      </c>
      <c r="P8" s="319">
        <f>SQRT(P4/B14)</f>
        <v>2.9959688720620377</v>
      </c>
      <c r="Q8" s="324">
        <f>P8*0.3048</f>
        <v>0.91317131220450909</v>
      </c>
      <c r="S8" s="311"/>
      <c r="T8" s="311"/>
      <c r="U8" s="311"/>
      <c r="V8" s="314" t="s">
        <v>86</v>
      </c>
      <c r="W8" s="319">
        <f>(0.35)*(J8/2)</f>
        <v>5.0493131364558428</v>
      </c>
      <c r="X8" s="319">
        <f>W8*0.3048</f>
        <v>1.5390306439917409</v>
      </c>
      <c r="Y8"/>
      <c r="AA8" s="1"/>
      <c r="AB8" s="1"/>
      <c r="AC8"/>
      <c r="AE8"/>
    </row>
    <row r="9" spans="1:31" ht="15" customHeight="1">
      <c r="A9" s="344" t="s">
        <v>87</v>
      </c>
      <c r="B9" s="282">
        <v>0.31</v>
      </c>
      <c r="C9" s="1"/>
      <c r="E9" s="1"/>
      <c r="F9" s="9"/>
      <c r="G9" s="9"/>
      <c r="H9"/>
      <c r="I9" s="421" t="s">
        <v>88</v>
      </c>
      <c r="J9" s="422"/>
      <c r="K9" s="424"/>
      <c r="L9" s="421" t="s">
        <v>89</v>
      </c>
      <c r="M9" s="422"/>
      <c r="N9" s="422"/>
      <c r="O9" s="422" t="s">
        <v>89</v>
      </c>
      <c r="P9" s="422"/>
      <c r="Q9" s="423"/>
    </row>
    <row r="10" spans="1:31" ht="15.75" customHeight="1">
      <c r="A10" s="345" t="s">
        <v>90</v>
      </c>
      <c r="B10" s="5">
        <v>375</v>
      </c>
      <c r="C10" s="1"/>
      <c r="E10" s="426" t="s">
        <v>91</v>
      </c>
      <c r="F10" s="427"/>
      <c r="G10" s="428"/>
      <c r="H10"/>
      <c r="I10" s="323" t="s">
        <v>92</v>
      </c>
      <c r="J10" s="319">
        <f>(3/2)*(J6)*((B16+1)/((B16^2)+B16+1))</f>
        <v>5.6378411051550872</v>
      </c>
      <c r="K10" s="330">
        <f>J10*0.3048</f>
        <v>1.7184139688512707</v>
      </c>
      <c r="L10" s="323" t="s">
        <v>93</v>
      </c>
      <c r="M10" s="319">
        <f>(3/2)*(M8)*((B16+1)/((B16^2)+B16+1))</f>
        <v>3.6818231219969784</v>
      </c>
      <c r="N10" s="319">
        <f>M10*0.3048</f>
        <v>1.122219687584679</v>
      </c>
      <c r="O10" s="318" t="s">
        <v>94</v>
      </c>
      <c r="P10" s="319">
        <f>(3/2)*(P8)*((B32+1)/((B32^2)+B32+1))</f>
        <v>4.0682600138863929</v>
      </c>
      <c r="Q10" s="324">
        <f>P10*0.3048</f>
        <v>1.2400056522325726</v>
      </c>
    </row>
    <row r="11" spans="1:31" ht="15" customHeight="1">
      <c r="A11" s="345" t="s">
        <v>95</v>
      </c>
      <c r="B11" s="5">
        <v>1.35</v>
      </c>
      <c r="C11" s="1"/>
      <c r="E11" s="411" t="s">
        <v>96</v>
      </c>
      <c r="F11" s="405">
        <f>F7*F2</f>
        <v>158.62607288266719</v>
      </c>
      <c r="G11" s="406"/>
      <c r="H11" s="1" t="s">
        <v>55</v>
      </c>
      <c r="I11" s="421" t="s">
        <v>97</v>
      </c>
      <c r="J11" s="422"/>
      <c r="K11" s="424"/>
      <c r="L11" s="421" t="s">
        <v>98</v>
      </c>
      <c r="M11" s="422"/>
      <c r="N11" s="422"/>
      <c r="O11" s="422" t="s">
        <v>98</v>
      </c>
      <c r="P11" s="422"/>
      <c r="Q11" s="423"/>
    </row>
    <row r="12" spans="1:31" ht="15.75" customHeight="1">
      <c r="A12" s="345" t="s">
        <v>99</v>
      </c>
      <c r="B12" s="5">
        <v>6.58</v>
      </c>
      <c r="C12" s="1"/>
      <c r="E12" s="412"/>
      <c r="F12" s="407">
        <f>F11*0.453592</f>
        <v>71.951517650994774</v>
      </c>
      <c r="G12" s="408"/>
      <c r="H12" s="1" t="s">
        <v>59</v>
      </c>
      <c r="I12" s="323" t="s">
        <v>100</v>
      </c>
      <c r="J12" s="319">
        <f>B16*J10</f>
        <v>2.8189205525775436</v>
      </c>
      <c r="K12" s="330">
        <f>J12*0.3048</f>
        <v>0.85920698442563537</v>
      </c>
      <c r="L12" s="323" t="s">
        <v>101</v>
      </c>
      <c r="M12" s="319">
        <f>B16*M10</f>
        <v>1.8409115609984892</v>
      </c>
      <c r="N12" s="319">
        <f>M12*0.3048</f>
        <v>0.56110984379233952</v>
      </c>
      <c r="O12" s="318" t="s">
        <v>102</v>
      </c>
      <c r="P12" s="319">
        <f>(P10*B32)</f>
        <v>1.5459388052768293</v>
      </c>
      <c r="Q12" s="324">
        <f>P12*0.3048</f>
        <v>0.47120214784837761</v>
      </c>
      <c r="S12" s="399" t="s">
        <v>103</v>
      </c>
      <c r="T12" s="400"/>
      <c r="U12" s="417"/>
      <c r="V12" s="418" t="s">
        <v>104</v>
      </c>
      <c r="W12" s="419"/>
      <c r="X12" s="420"/>
    </row>
    <row r="13" spans="1:31" ht="15" customHeight="1">
      <c r="A13" s="345" t="s">
        <v>105</v>
      </c>
      <c r="B13" s="5">
        <v>4</v>
      </c>
      <c r="C13" s="1"/>
      <c r="E13" s="1"/>
      <c r="G13"/>
      <c r="H13"/>
      <c r="I13" s="421" t="s">
        <v>106</v>
      </c>
      <c r="J13" s="422"/>
      <c r="K13" s="424"/>
      <c r="L13" s="432" t="s">
        <v>107</v>
      </c>
      <c r="M13" s="433"/>
      <c r="N13" s="433"/>
      <c r="O13" s="433" t="s">
        <v>108</v>
      </c>
      <c r="P13" s="433"/>
      <c r="Q13" s="434"/>
      <c r="S13" s="340"/>
      <c r="T13" s="340" t="s">
        <v>56</v>
      </c>
      <c r="U13" s="340" t="s">
        <v>57</v>
      </c>
      <c r="V13" s="340"/>
      <c r="W13" s="340" t="s">
        <v>56</v>
      </c>
      <c r="X13" s="340" t="s">
        <v>57</v>
      </c>
    </row>
    <row r="14" spans="1:31" ht="30" customHeight="1">
      <c r="A14" s="345" t="s">
        <v>109</v>
      </c>
      <c r="B14" s="5">
        <v>1.4</v>
      </c>
      <c r="C14" s="1"/>
      <c r="E14" s="396" t="s">
        <v>110</v>
      </c>
      <c r="F14" s="397"/>
      <c r="G14" s="398"/>
      <c r="H14"/>
      <c r="I14" s="325" t="s">
        <v>111</v>
      </c>
      <c r="J14" s="326">
        <f>B28*J8</f>
        <v>20.846449949081983</v>
      </c>
      <c r="K14" s="331">
        <f>J14*0.3048</f>
        <v>6.3539979444801888</v>
      </c>
      <c r="L14" s="334" t="s">
        <v>107</v>
      </c>
      <c r="M14" s="319">
        <f>0.45*M4</f>
        <v>14.760783412931271</v>
      </c>
      <c r="N14" s="319">
        <f>M14*0.092903</f>
        <v>1.3713210614115539</v>
      </c>
      <c r="O14" s="332" t="s">
        <v>112</v>
      </c>
      <c r="P14" s="319">
        <f>P4-W15</f>
        <v>5.6547725738897467</v>
      </c>
      <c r="Q14" s="324">
        <f>P14*0.092903</f>
        <v>0.52534533643207915</v>
      </c>
      <c r="S14" s="422" t="s">
        <v>113</v>
      </c>
      <c r="T14" s="422"/>
      <c r="U14" s="422"/>
      <c r="V14" s="422" t="s">
        <v>114</v>
      </c>
      <c r="W14" s="422"/>
      <c r="X14" s="422"/>
    </row>
    <row r="15" spans="1:31" ht="30" customHeight="1">
      <c r="A15" s="345" t="s">
        <v>115</v>
      </c>
      <c r="B15" s="5">
        <v>1.54</v>
      </c>
      <c r="C15" s="1"/>
      <c r="E15" s="411" t="s">
        <v>116</v>
      </c>
      <c r="F15" s="405">
        <f>(1/15)*F11</f>
        <v>10.575071525511145</v>
      </c>
      <c r="G15" s="406"/>
      <c r="H15" s="1" t="s">
        <v>55</v>
      </c>
      <c r="I15" s="313"/>
      <c r="J15" s="311"/>
      <c r="K15" s="311"/>
      <c r="L15" s="432" t="s">
        <v>117</v>
      </c>
      <c r="M15" s="433"/>
      <c r="N15" s="433"/>
      <c r="O15" s="435" t="s">
        <v>118</v>
      </c>
      <c r="P15" s="435"/>
      <c r="Q15" s="436"/>
      <c r="S15" s="314" t="s">
        <v>119</v>
      </c>
      <c r="T15" s="319">
        <f>(2)*(T16)*(W6)</f>
        <v>14.406800606243626</v>
      </c>
      <c r="U15" s="319">
        <f>T15*0.092903</f>
        <v>1.3384349967218516</v>
      </c>
      <c r="V15" s="395" t="s">
        <v>119</v>
      </c>
      <c r="W15" s="379">
        <f>0.55*P4</f>
        <v>6.911388701420802</v>
      </c>
      <c r="X15" s="379">
        <f>W15*0.092903</f>
        <v>0.64208874452809672</v>
      </c>
    </row>
    <row r="16" spans="1:31" ht="15" customHeight="1">
      <c r="A16" s="345" t="s">
        <v>120</v>
      </c>
      <c r="B16" s="5">
        <v>0.5</v>
      </c>
      <c r="C16" s="1"/>
      <c r="E16" s="412"/>
      <c r="F16" s="407">
        <f>F15*0.453592</f>
        <v>4.7967678433996515</v>
      </c>
      <c r="G16" s="408"/>
      <c r="H16" s="1" t="s">
        <v>59</v>
      </c>
      <c r="I16" s="311"/>
      <c r="J16" s="311"/>
      <c r="K16" s="311"/>
      <c r="L16" s="335" t="s">
        <v>121</v>
      </c>
      <c r="M16" s="326">
        <f>M4-M14</f>
        <v>18.040957504693775</v>
      </c>
      <c r="N16" s="326">
        <f>M16*0.092903</f>
        <v>1.6760590750585658</v>
      </c>
      <c r="O16" s="336" t="s">
        <v>122</v>
      </c>
      <c r="P16" s="326">
        <f>((300/SQRT(B23))*(B20/B21)^1/4)</f>
        <v>3.2264974679896845</v>
      </c>
      <c r="Q16" s="327">
        <f>P16*0.3048</f>
        <v>0.98343642824325583</v>
      </c>
      <c r="S16" s="316" t="s">
        <v>123</v>
      </c>
      <c r="T16" s="319">
        <f>(0.5)*((0.6)*(J8)-4.17)</f>
        <v>6.5709653767814453</v>
      </c>
      <c r="U16" s="319">
        <f>T16*0.3048</f>
        <v>2.0028302468429846</v>
      </c>
      <c r="V16" s="395"/>
      <c r="W16" s="379"/>
      <c r="X16" s="379"/>
    </row>
    <row r="17" spans="1:33" ht="15" customHeight="1">
      <c r="A17" s="345" t="s">
        <v>124</v>
      </c>
      <c r="B17" s="5">
        <v>0.7</v>
      </c>
      <c r="C17" s="1"/>
      <c r="E17" s="1"/>
      <c r="G17"/>
      <c r="H17"/>
      <c r="T17" s="1"/>
      <c r="U17"/>
      <c r="V17"/>
    </row>
    <row r="18" spans="1:33" ht="15.75" customHeight="1">
      <c r="A18" s="1"/>
      <c r="B18" s="1"/>
      <c r="C18" s="1"/>
      <c r="E18" s="396" t="s">
        <v>125</v>
      </c>
      <c r="F18" s="397"/>
      <c r="G18" s="398"/>
      <c r="H18"/>
      <c r="U18"/>
      <c r="V18"/>
    </row>
    <row r="19" spans="1:33" ht="15" customHeight="1">
      <c r="A19" s="429" t="s">
        <v>126</v>
      </c>
      <c r="B19" s="430"/>
      <c r="C19" s="431"/>
      <c r="E19" s="413" t="s">
        <v>127</v>
      </c>
      <c r="F19" s="405">
        <f>B2+F11+F15</f>
        <v>549.20114440817827</v>
      </c>
      <c r="G19" s="406"/>
      <c r="H19" s="1" t="s">
        <v>55</v>
      </c>
      <c r="I19" s="396" t="s">
        <v>128</v>
      </c>
      <c r="J19" s="398"/>
      <c r="K19" s="393">
        <f>F2/B20</f>
        <v>13.194017166122675</v>
      </c>
      <c r="L19" s="394"/>
      <c r="M19" s="350" t="s">
        <v>129</v>
      </c>
      <c r="U19"/>
      <c r="V19"/>
    </row>
    <row r="20" spans="1:33" ht="15" customHeight="1">
      <c r="A20" s="346" t="s">
        <v>130</v>
      </c>
      <c r="B20" s="341">
        <v>125</v>
      </c>
      <c r="C20" s="341"/>
      <c r="E20" s="414"/>
      <c r="F20" s="407">
        <f>F19*0.453592</f>
        <v>249.11324549439439</v>
      </c>
      <c r="G20" s="408"/>
      <c r="H20" s="1" t="s">
        <v>59</v>
      </c>
      <c r="I20" s="437" t="s">
        <v>131</v>
      </c>
      <c r="J20" s="438"/>
      <c r="K20" s="393">
        <f>F2/J4</f>
        <v>13.03540231954929</v>
      </c>
      <c r="L20" s="394"/>
      <c r="M20"/>
      <c r="T20" s="1"/>
      <c r="U20"/>
      <c r="V20"/>
    </row>
    <row r="21" spans="1:33" ht="15" customHeight="1">
      <c r="A21" s="382" t="s">
        <v>132</v>
      </c>
      <c r="B21" s="319">
        <v>57.54</v>
      </c>
      <c r="C21" s="314" t="s">
        <v>133</v>
      </c>
      <c r="E21" s="1"/>
      <c r="G21"/>
      <c r="H21"/>
      <c r="I21" s="439" t="s">
        <v>134</v>
      </c>
      <c r="J21" s="440"/>
      <c r="K21" s="393">
        <f>F2/J8</f>
        <v>57.160076570635859</v>
      </c>
      <c r="L21" s="394"/>
      <c r="M21" s="350" t="s">
        <v>129</v>
      </c>
      <c r="V21"/>
    </row>
    <row r="22" spans="1:33" ht="15" customHeight="1">
      <c r="A22" s="382"/>
      <c r="B22" s="319">
        <f>B21*1.46667</f>
        <v>84.392191799999992</v>
      </c>
      <c r="C22" s="319" t="s">
        <v>135</v>
      </c>
      <c r="E22" s="396" t="s">
        <v>136</v>
      </c>
      <c r="F22" s="397"/>
      <c r="G22" s="398"/>
      <c r="H22"/>
      <c r="I22" s="391" t="s">
        <v>137</v>
      </c>
      <c r="J22" s="392"/>
      <c r="K22" s="393">
        <f>(B3/F2)*100</f>
        <v>17.341193142257932</v>
      </c>
      <c r="L22" s="394"/>
      <c r="M22" s="350" t="s">
        <v>138</v>
      </c>
    </row>
    <row r="23" spans="1:33" ht="15" customHeight="1">
      <c r="A23" s="347" t="s">
        <v>139</v>
      </c>
      <c r="B23" s="319">
        <v>2550</v>
      </c>
      <c r="C23" s="314"/>
      <c r="E23" s="411" t="s">
        <v>140</v>
      </c>
      <c r="F23" s="405">
        <f>F2-F19</f>
        <v>1100.0510013571561</v>
      </c>
      <c r="G23" s="406"/>
      <c r="H23" s="1" t="s">
        <v>55</v>
      </c>
    </row>
    <row r="24" spans="1:33" ht="30" customHeight="1">
      <c r="A24" s="347" t="s">
        <v>141</v>
      </c>
      <c r="B24" s="314"/>
      <c r="C24" s="314"/>
      <c r="E24" s="412"/>
      <c r="F24" s="407">
        <f>F23*0.453592</f>
        <v>498.97433380759514</v>
      </c>
      <c r="G24" s="408"/>
      <c r="H24" s="1" t="s">
        <v>59</v>
      </c>
    </row>
    <row r="25" spans="1:33" ht="15" customHeight="1">
      <c r="A25" s="1"/>
      <c r="B25" s="1"/>
      <c r="C25" s="1"/>
    </row>
    <row r="26" spans="1:33" ht="30.75" customHeight="1">
      <c r="A26" s="1"/>
      <c r="B26" s="1"/>
      <c r="C26" s="1"/>
      <c r="AG26" s="1">
        <f>K8/2</f>
        <v>4.3972304114049745</v>
      </c>
    </row>
    <row r="27" spans="1:33" ht="15" customHeight="1">
      <c r="A27" s="403" t="s">
        <v>142</v>
      </c>
      <c r="B27" s="404"/>
      <c r="C27" s="309"/>
      <c r="AG27" s="1">
        <f>AG26-X8</f>
        <v>2.8581997674132333</v>
      </c>
    </row>
    <row r="28" spans="1:33" ht="15" customHeight="1">
      <c r="A28" s="344" t="s">
        <v>143</v>
      </c>
      <c r="B28" s="282">
        <v>0.72250000000000003</v>
      </c>
      <c r="C28" s="1"/>
    </row>
    <row r="29" spans="1:33" ht="15" customHeight="1">
      <c r="A29" s="345" t="s">
        <v>144</v>
      </c>
      <c r="B29" s="5">
        <f>2.7*(J6)</f>
        <v>11.839466320825686</v>
      </c>
      <c r="C29" s="1"/>
    </row>
    <row r="30" spans="1:33" ht="15" customHeight="1">
      <c r="A30" s="345" t="s">
        <v>145</v>
      </c>
      <c r="B30" s="5">
        <v>1.7</v>
      </c>
      <c r="C30" s="1"/>
      <c r="L30" s="337"/>
    </row>
    <row r="31" spans="1:33">
      <c r="A31" s="345" t="s">
        <v>146</v>
      </c>
      <c r="B31" s="5">
        <v>3.5</v>
      </c>
      <c r="C31" s="1"/>
    </row>
    <row r="32" spans="1:33" ht="30" customHeight="1">
      <c r="A32" s="348" t="s">
        <v>147</v>
      </c>
      <c r="B32" s="5">
        <v>0.38</v>
      </c>
      <c r="C32" s="1"/>
    </row>
    <row r="33" spans="1:35" ht="45.75">
      <c r="A33" s="348" t="s">
        <v>148</v>
      </c>
      <c r="B33" s="5">
        <v>0.35</v>
      </c>
      <c r="C33" s="1"/>
    </row>
    <row r="34" spans="1:35" ht="15" customHeight="1">
      <c r="A34" s="345" t="s">
        <v>149</v>
      </c>
      <c r="B34" s="5">
        <v>1.54</v>
      </c>
      <c r="C34" s="1"/>
    </row>
    <row r="35" spans="1:35" ht="15" customHeight="1"/>
    <row r="36" spans="1:35" ht="15" customHeight="1"/>
    <row r="37" spans="1:35" ht="15" customHeight="1">
      <c r="L37" s="310"/>
      <c r="M37" s="310"/>
      <c r="N37" s="310"/>
    </row>
    <row r="38" spans="1:35" ht="30" customHeight="1"/>
    <row r="39" spans="1:35" ht="30" customHeight="1"/>
    <row r="40" spans="1:35" ht="15" customHeight="1">
      <c r="AB40" s="14" t="s">
        <v>53</v>
      </c>
      <c r="AC40" s="15"/>
      <c r="AD40" s="14" t="s">
        <v>55</v>
      </c>
      <c r="AE40" s="16"/>
      <c r="AI40" s="2">
        <v>380</v>
      </c>
    </row>
    <row r="41" spans="1:35" ht="15" customHeight="1">
      <c r="AB41" s="17" t="s">
        <v>58</v>
      </c>
      <c r="AC41" s="15"/>
      <c r="AD41" s="18" t="s">
        <v>55</v>
      </c>
      <c r="AE41" s="19"/>
      <c r="AI41" s="2">
        <v>286</v>
      </c>
    </row>
    <row r="42" spans="1:35" ht="15" customHeight="1">
      <c r="AB42" s="17" t="s">
        <v>63</v>
      </c>
      <c r="AC42" s="15"/>
      <c r="AD42" s="21" t="s">
        <v>150</v>
      </c>
      <c r="AE42" s="22"/>
    </row>
    <row r="43" spans="1:35" ht="15" customHeight="1">
      <c r="AB43" s="14" t="s">
        <v>151</v>
      </c>
      <c r="AC43" s="15"/>
      <c r="AD43" s="18" t="s">
        <v>152</v>
      </c>
      <c r="AE43" s="19"/>
      <c r="AI43" s="1">
        <v>0.31</v>
      </c>
    </row>
    <row r="44" spans="1:35" ht="15" customHeight="1">
      <c r="AB44" s="17" t="s">
        <v>153</v>
      </c>
      <c r="AC44" s="15"/>
      <c r="AD44" s="18" t="s">
        <v>152</v>
      </c>
      <c r="AE44" s="19"/>
      <c r="AI44" s="1">
        <v>375</v>
      </c>
    </row>
    <row r="45" spans="1:35" ht="15" customHeight="1">
      <c r="AB45" s="14" t="s">
        <v>154</v>
      </c>
      <c r="AC45" s="15"/>
      <c r="AD45" s="23" t="s">
        <v>155</v>
      </c>
      <c r="AE45" s="16"/>
      <c r="AI45" s="1">
        <v>1.35</v>
      </c>
    </row>
    <row r="46" spans="1:35" ht="15" customHeight="1">
      <c r="AB46" s="14"/>
      <c r="AC46" s="15"/>
      <c r="AD46" s="15"/>
      <c r="AE46" s="15"/>
    </row>
    <row r="47" spans="1:35" ht="15" customHeight="1">
      <c r="AB47" s="14"/>
      <c r="AC47" s="15"/>
      <c r="AD47" s="15"/>
      <c r="AE47" s="15"/>
    </row>
    <row r="48" spans="1:35" ht="15" customHeight="1">
      <c r="AB48" s="17" t="s">
        <v>149</v>
      </c>
      <c r="AC48" s="15"/>
      <c r="AD48" s="14"/>
      <c r="AE48" s="16"/>
    </row>
    <row r="49" spans="28:35" ht="15" customHeight="1">
      <c r="AB49" s="17" t="s">
        <v>156</v>
      </c>
      <c r="AC49" s="15"/>
      <c r="AD49" s="18" t="s">
        <v>135</v>
      </c>
      <c r="AE49" s="24"/>
      <c r="AI49" s="1">
        <v>57.54</v>
      </c>
    </row>
    <row r="50" spans="28:35" ht="15" customHeight="1">
      <c r="AB50" s="17" t="s">
        <v>157</v>
      </c>
      <c r="AC50" s="15"/>
      <c r="AD50" s="18" t="s">
        <v>158</v>
      </c>
      <c r="AE50" s="19"/>
      <c r="AI50" s="1">
        <v>6.58</v>
      </c>
    </row>
    <row r="51" spans="28:35" ht="15" customHeight="1">
      <c r="AB51" s="25" t="s">
        <v>159</v>
      </c>
      <c r="AC51" s="15"/>
      <c r="AD51" s="18" t="s">
        <v>160</v>
      </c>
      <c r="AE51" s="19"/>
      <c r="AI51" s="1">
        <v>2.3770000000000002E-3</v>
      </c>
    </row>
    <row r="52" spans="28:35" ht="15" customHeight="1">
      <c r="AB52" s="26" t="s">
        <v>161</v>
      </c>
      <c r="AC52" s="15"/>
      <c r="AD52" s="18" t="s">
        <v>162</v>
      </c>
      <c r="AE52" s="19"/>
      <c r="AI52" s="1">
        <v>0.5</v>
      </c>
    </row>
    <row r="53" spans="28:35" ht="15" customHeight="1">
      <c r="AB53" s="17" t="s">
        <v>111</v>
      </c>
      <c r="AC53" s="15"/>
      <c r="AD53" s="18" t="s">
        <v>163</v>
      </c>
      <c r="AE53" s="19"/>
      <c r="AI53" s="1">
        <v>0.72250000000000003</v>
      </c>
    </row>
    <row r="54" spans="28:35" ht="15" customHeight="1">
      <c r="AB54" s="14"/>
      <c r="AC54" s="15"/>
      <c r="AD54" s="15"/>
      <c r="AE54" s="15"/>
    </row>
    <row r="55" spans="28:35" ht="15" customHeight="1">
      <c r="AB55" s="14"/>
      <c r="AC55" s="15"/>
      <c r="AD55" s="15"/>
      <c r="AE55" s="15"/>
    </row>
    <row r="56" spans="28:35" ht="15" customHeight="1">
      <c r="AB56" s="14"/>
      <c r="AC56" s="15"/>
      <c r="AD56" s="15"/>
      <c r="AE56" s="15"/>
    </row>
    <row r="57" spans="28:35" ht="15" customHeight="1">
      <c r="AB57" s="14" t="s">
        <v>164</v>
      </c>
      <c r="AC57" s="15"/>
      <c r="AD57" s="14" t="s">
        <v>165</v>
      </c>
      <c r="AE57" s="15"/>
      <c r="AI57" s="27">
        <v>2.2327263622660101</v>
      </c>
    </row>
    <row r="58" spans="28:35" ht="15" customHeight="1">
      <c r="AB58" s="28" t="s">
        <v>166</v>
      </c>
      <c r="AC58" s="15"/>
      <c r="AD58" s="18" t="s">
        <v>167</v>
      </c>
      <c r="AE58" s="15"/>
      <c r="AI58" s="1">
        <v>3.5</v>
      </c>
    </row>
    <row r="59" spans="28:35" ht="87.75" customHeight="1">
      <c r="AB59" s="29" t="s">
        <v>168</v>
      </c>
      <c r="AC59" s="15"/>
      <c r="AD59" s="18" t="s">
        <v>169</v>
      </c>
      <c r="AE59" s="15"/>
      <c r="AI59" s="1">
        <v>0.35</v>
      </c>
    </row>
    <row r="60" spans="28:35" ht="15" customHeight="1">
      <c r="AB60" s="18"/>
      <c r="AC60" s="15"/>
      <c r="AD60" s="15"/>
      <c r="AE60" s="15"/>
    </row>
    <row r="61" spans="28:35" ht="15" customHeight="1">
      <c r="AB61" s="14"/>
      <c r="AC61" s="15"/>
      <c r="AD61" s="15"/>
      <c r="AE61" s="15"/>
    </row>
    <row r="62" spans="28:35" ht="15" customHeight="1">
      <c r="AB62" s="28"/>
      <c r="AC62" s="15"/>
      <c r="AD62" s="15"/>
      <c r="AE62" s="15"/>
    </row>
    <row r="63" spans="28:35" ht="87.75" customHeight="1">
      <c r="AB63" s="29"/>
      <c r="AC63" s="15"/>
      <c r="AD63" s="15"/>
      <c r="AE63" s="15"/>
    </row>
    <row r="64" spans="28:35" ht="15" customHeight="1">
      <c r="AB64" s="14" t="s">
        <v>170</v>
      </c>
      <c r="AC64" s="15"/>
      <c r="AD64" s="14" t="s">
        <v>165</v>
      </c>
      <c r="AE64" s="15"/>
      <c r="AI64" s="1">
        <v>2.7187974499237901</v>
      </c>
    </row>
    <row r="65" spans="28:35" ht="15" customHeight="1">
      <c r="AB65" s="28" t="s">
        <v>171</v>
      </c>
      <c r="AC65" s="15"/>
      <c r="AD65" s="18" t="s">
        <v>172</v>
      </c>
      <c r="AE65" s="15"/>
      <c r="AI65" s="1">
        <v>1.7</v>
      </c>
    </row>
    <row r="66" spans="28:35" ht="87.75" customHeight="1">
      <c r="AB66" s="29" t="s">
        <v>173</v>
      </c>
      <c r="AC66" s="15"/>
      <c r="AD66" s="18" t="s">
        <v>169</v>
      </c>
      <c r="AE66" s="15"/>
      <c r="AI66" s="1">
        <v>0.38</v>
      </c>
    </row>
    <row r="67" spans="28:35" ht="15" customHeight="1">
      <c r="AB67" s="14"/>
      <c r="AC67" s="15"/>
      <c r="AD67" s="15"/>
      <c r="AE67" s="15"/>
    </row>
    <row r="68" spans="28:35" ht="15" customHeight="1">
      <c r="AB68" s="14"/>
      <c r="AC68" s="15"/>
      <c r="AD68" s="15"/>
      <c r="AE68" s="15"/>
    </row>
    <row r="69" spans="28:35" ht="15" customHeight="1">
      <c r="AB69" s="14"/>
      <c r="AC69" s="15"/>
      <c r="AD69" s="15"/>
      <c r="AE69" s="15"/>
    </row>
    <row r="70" spans="28:35" ht="15" customHeight="1">
      <c r="AB70" s="14"/>
      <c r="AC70" s="15"/>
      <c r="AD70" s="15"/>
      <c r="AE70" s="15"/>
    </row>
    <row r="71" spans="28:35" ht="15" customHeight="1">
      <c r="AB71" s="14" t="s">
        <v>67</v>
      </c>
      <c r="AC71" s="15"/>
      <c r="AD71" s="15" t="s">
        <v>174</v>
      </c>
      <c r="AE71" s="15"/>
      <c r="AI71" s="1">
        <v>0.27</v>
      </c>
    </row>
    <row r="72" spans="28:35" ht="15" customHeight="1">
      <c r="AB72" s="14" t="s">
        <v>77</v>
      </c>
      <c r="AC72" s="15"/>
      <c r="AD72" s="15" t="s">
        <v>174</v>
      </c>
      <c r="AE72" s="15"/>
      <c r="AI72" s="1">
        <v>0.28000000000000003</v>
      </c>
    </row>
    <row r="73" spans="28:35" ht="15" customHeight="1">
      <c r="AB73" s="14" t="s">
        <v>175</v>
      </c>
      <c r="AC73" s="15"/>
      <c r="AD73" s="15"/>
      <c r="AE73" s="15"/>
      <c r="AI73" s="1">
        <v>50</v>
      </c>
    </row>
    <row r="74" spans="28:35" ht="15" customHeight="1">
      <c r="AB74" s="14" t="s">
        <v>176</v>
      </c>
      <c r="AC74" s="15"/>
      <c r="AD74" s="15"/>
      <c r="AE74" s="15"/>
      <c r="AI74" s="1">
        <v>180</v>
      </c>
    </row>
    <row r="75" spans="28:35" ht="15" customHeight="1">
      <c r="AB75" s="14" t="s">
        <v>139</v>
      </c>
      <c r="AC75" s="15"/>
      <c r="AD75" s="15"/>
      <c r="AE75" s="15"/>
      <c r="AI75" s="1">
        <v>2550</v>
      </c>
    </row>
    <row r="76" spans="28:35" ht="15" customHeight="1">
      <c r="AB76" s="28" t="s">
        <v>177</v>
      </c>
      <c r="AC76" s="15"/>
      <c r="AD76" s="15"/>
      <c r="AE76" s="15"/>
      <c r="AI76" s="1">
        <v>125</v>
      </c>
    </row>
    <row r="77" spans="28:35" ht="15" customHeight="1">
      <c r="AB77" s="14"/>
      <c r="AC77" s="15"/>
      <c r="AD77" s="15"/>
      <c r="AE77" s="15"/>
    </row>
    <row r="78" spans="28:35" ht="15" customHeight="1">
      <c r="AB78" s="14"/>
      <c r="AC78" s="15"/>
      <c r="AD78" s="15"/>
      <c r="AE78" s="15"/>
    </row>
    <row r="79" spans="28:35" ht="15" customHeight="1">
      <c r="AB79" s="14" t="s">
        <v>178</v>
      </c>
      <c r="AC79" s="15"/>
      <c r="AD79" s="15"/>
      <c r="AE79" s="15"/>
      <c r="AI79" s="1">
        <v>2415</v>
      </c>
    </row>
  </sheetData>
  <mergeCells count="74">
    <mergeCell ref="I20:J20"/>
    <mergeCell ref="I21:J21"/>
    <mergeCell ref="K20:L20"/>
    <mergeCell ref="K19:L19"/>
    <mergeCell ref="K21:L21"/>
    <mergeCell ref="I11:K11"/>
    <mergeCell ref="L11:N11"/>
    <mergeCell ref="O11:Q11"/>
    <mergeCell ref="E14:G14"/>
    <mergeCell ref="A19:C19"/>
    <mergeCell ref="I13:K13"/>
    <mergeCell ref="L13:N13"/>
    <mergeCell ref="O13:Q13"/>
    <mergeCell ref="F15:G15"/>
    <mergeCell ref="F16:G16"/>
    <mergeCell ref="L15:N15"/>
    <mergeCell ref="O15:Q15"/>
    <mergeCell ref="E18:G18"/>
    <mergeCell ref="F19:G19"/>
    <mergeCell ref="I19:J19"/>
    <mergeCell ref="S14:U14"/>
    <mergeCell ref="V14:X14"/>
    <mergeCell ref="V5:X5"/>
    <mergeCell ref="F8:G8"/>
    <mergeCell ref="I7:K7"/>
    <mergeCell ref="L7:N7"/>
    <mergeCell ref="O7:Q7"/>
    <mergeCell ref="V7:X7"/>
    <mergeCell ref="F7:G7"/>
    <mergeCell ref="L5:N5"/>
    <mergeCell ref="O5:Q5"/>
    <mergeCell ref="S5:U5"/>
    <mergeCell ref="E10:G10"/>
    <mergeCell ref="I9:K9"/>
    <mergeCell ref="L9:N9"/>
    <mergeCell ref="O9:Q9"/>
    <mergeCell ref="S12:U12"/>
    <mergeCell ref="V12:X12"/>
    <mergeCell ref="L3:N3"/>
    <mergeCell ref="O3:Q3"/>
    <mergeCell ref="S3:U3"/>
    <mergeCell ref="V3:X3"/>
    <mergeCell ref="A27:B27"/>
    <mergeCell ref="E6:G6"/>
    <mergeCell ref="F11:G11"/>
    <mergeCell ref="F12:G12"/>
    <mergeCell ref="F3:G3"/>
    <mergeCell ref="E7:E8"/>
    <mergeCell ref="E11:E12"/>
    <mergeCell ref="E15:E16"/>
    <mergeCell ref="E19:E20"/>
    <mergeCell ref="E23:E24"/>
    <mergeCell ref="E2:E3"/>
    <mergeCell ref="F2:G2"/>
    <mergeCell ref="F20:G20"/>
    <mergeCell ref="E22:G22"/>
    <mergeCell ref="F23:G23"/>
    <mergeCell ref="F24:G24"/>
    <mergeCell ref="X15:X16"/>
    <mergeCell ref="A1:B1"/>
    <mergeCell ref="A21:A22"/>
    <mergeCell ref="A8:B8"/>
    <mergeCell ref="I5:K5"/>
    <mergeCell ref="I3:K3"/>
    <mergeCell ref="I1:K1"/>
    <mergeCell ref="I22:J22"/>
    <mergeCell ref="K22:L22"/>
    <mergeCell ref="V15:V16"/>
    <mergeCell ref="W15:W16"/>
    <mergeCell ref="E1:G1"/>
    <mergeCell ref="L1:N1"/>
    <mergeCell ref="O1:Q1"/>
    <mergeCell ref="S1:U1"/>
    <mergeCell ref="V1:X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U96"/>
  <sheetViews>
    <sheetView topLeftCell="A10" zoomScale="55" zoomScaleNormal="55" workbookViewId="0">
      <selection activeCell="I24" sqref="I24:I25"/>
    </sheetView>
  </sheetViews>
  <sheetFormatPr defaultColWidth="12.5703125" defaultRowHeight="15"/>
  <cols>
    <col min="8" max="8" width="14.140625" style="1" customWidth="1"/>
    <col min="9" max="9" width="14.28515625" style="1" customWidth="1"/>
    <col min="10" max="10" width="15" style="1" customWidth="1"/>
    <col min="11" max="11" width="17.140625" style="1" customWidth="1"/>
    <col min="12" max="12" width="14.140625" style="1" customWidth="1"/>
    <col min="13" max="13" width="16.140625" style="1" customWidth="1"/>
    <col min="14" max="14" width="13.85546875" style="1" customWidth="1"/>
    <col min="15" max="16" width="14.42578125" style="1" customWidth="1"/>
    <col min="17" max="17" width="14.28515625" style="1" customWidth="1"/>
  </cols>
  <sheetData>
    <row r="2" spans="1:47" ht="23.25" customHeight="1">
      <c r="B2" s="30" t="s">
        <v>179</v>
      </c>
      <c r="C2" s="30"/>
      <c r="J2" s="441" t="s">
        <v>89</v>
      </c>
      <c r="K2" s="441"/>
      <c r="L2" s="441"/>
      <c r="M2" s="441"/>
      <c r="N2" s="441"/>
      <c r="O2" s="441"/>
      <c r="P2" s="441"/>
      <c r="R2" s="442" t="s">
        <v>180</v>
      </c>
      <c r="S2" s="442"/>
      <c r="T2" s="442"/>
      <c r="U2" s="442"/>
      <c r="V2" s="442"/>
      <c r="W2" s="442"/>
      <c r="X2" s="442"/>
    </row>
    <row r="3" spans="1:47" ht="15.75" customHeight="1">
      <c r="J3" s="31" t="s">
        <v>181</v>
      </c>
      <c r="L3" s="1" t="s">
        <v>182</v>
      </c>
      <c r="N3" s="1" t="s">
        <v>183</v>
      </c>
      <c r="P3" s="32" t="s">
        <v>184</v>
      </c>
      <c r="R3" s="33" t="s">
        <v>181</v>
      </c>
      <c r="S3" s="34"/>
      <c r="T3" s="34" t="s">
        <v>182</v>
      </c>
      <c r="U3" s="34"/>
      <c r="V3" s="34" t="s">
        <v>183</v>
      </c>
      <c r="W3" s="34"/>
      <c r="X3" s="35" t="s">
        <v>184</v>
      </c>
    </row>
    <row r="4" spans="1:47" ht="15.75" customHeight="1">
      <c r="A4" s="443" t="s">
        <v>185</v>
      </c>
      <c r="B4" s="443"/>
      <c r="C4" s="443" t="s">
        <v>186</v>
      </c>
      <c r="D4" s="443"/>
      <c r="E4" s="1" t="s">
        <v>187</v>
      </c>
      <c r="J4" s="31"/>
      <c r="P4" s="32"/>
      <c r="R4" s="33"/>
      <c r="S4" s="34"/>
      <c r="T4" s="34"/>
      <c r="U4" s="34"/>
      <c r="V4" s="34"/>
      <c r="W4" s="34"/>
      <c r="X4" s="35"/>
    </row>
    <row r="5" spans="1:47" ht="15.75" customHeight="1">
      <c r="A5" s="36" t="s">
        <v>188</v>
      </c>
      <c r="B5" s="37" t="s">
        <v>189</v>
      </c>
      <c r="C5" s="37" t="s">
        <v>188</v>
      </c>
      <c r="D5" s="38" t="s">
        <v>189</v>
      </c>
      <c r="J5" s="39">
        <v>0</v>
      </c>
      <c r="L5" s="40">
        <f>(D6*148)/(100)</f>
        <v>0</v>
      </c>
      <c r="N5" s="40">
        <f>(A6*148)/(100)</f>
        <v>0</v>
      </c>
      <c r="P5" s="32">
        <v>0</v>
      </c>
      <c r="R5" s="41">
        <f>J5/30</f>
        <v>0</v>
      </c>
      <c r="S5" s="34"/>
      <c r="T5" s="42">
        <f>L5/30</f>
        <v>0</v>
      </c>
      <c r="U5" s="34"/>
      <c r="V5" s="42">
        <f>N5/30</f>
        <v>0</v>
      </c>
      <c r="W5" s="34"/>
      <c r="X5" s="43">
        <f>P5/30</f>
        <v>0</v>
      </c>
    </row>
    <row r="6" spans="1:47" ht="15.75" customHeight="1">
      <c r="A6" s="44">
        <v>0</v>
      </c>
      <c r="B6" s="45" t="s">
        <v>190</v>
      </c>
      <c r="C6" s="46">
        <v>0</v>
      </c>
      <c r="D6" s="47">
        <v>0</v>
      </c>
      <c r="J6" s="48">
        <f>(B7*148)/(100)</f>
        <v>4.0107999999999997</v>
      </c>
      <c r="L6" s="49">
        <f>(D7*148)/(100)</f>
        <v>-3.0488</v>
      </c>
      <c r="N6" s="49">
        <f>(A7*148)/(100)</f>
        <v>1.85</v>
      </c>
      <c r="P6" s="50">
        <f>((J6+L6)/2)</f>
        <v>0.48099999999999987</v>
      </c>
      <c r="R6" s="51">
        <f>J6/30</f>
        <v>0.13369333333333333</v>
      </c>
      <c r="S6" s="34"/>
      <c r="T6" s="52">
        <f>L6/30</f>
        <v>-0.10162666666666667</v>
      </c>
      <c r="U6" s="34"/>
      <c r="V6" s="52">
        <f>N6/30</f>
        <v>6.1666666666666668E-2</v>
      </c>
      <c r="W6" s="34"/>
      <c r="X6" s="43">
        <f>P6/30</f>
        <v>1.603333333333333E-2</v>
      </c>
    </row>
    <row r="7" spans="1:47" ht="15.75" customHeight="1">
      <c r="A7" s="44">
        <v>1.25</v>
      </c>
      <c r="B7" s="46">
        <v>2.71</v>
      </c>
      <c r="C7" s="46">
        <v>1.25</v>
      </c>
      <c r="D7" s="47">
        <v>-2.06</v>
      </c>
      <c r="J7" s="39">
        <f>(B8*148)/(100)</f>
        <v>5.4908000000000001</v>
      </c>
      <c r="L7" s="40">
        <f>(D8*148)/(100)</f>
        <v>-4.2328000000000001</v>
      </c>
      <c r="N7" s="40">
        <f>(A8*148)/(100)</f>
        <v>3.7</v>
      </c>
      <c r="P7" s="50">
        <f>((J7+L7)/2)</f>
        <v>0.629</v>
      </c>
      <c r="R7" s="41">
        <f>J7/30</f>
        <v>0.18302666666666667</v>
      </c>
      <c r="S7" s="34"/>
      <c r="T7" s="42">
        <f>L7/30</f>
        <v>-0.14109333333333335</v>
      </c>
      <c r="U7" s="34"/>
      <c r="V7" s="42">
        <f>N7/30</f>
        <v>0.12333333333333334</v>
      </c>
      <c r="W7" s="34"/>
      <c r="X7" s="43">
        <f>P7/30</f>
        <v>2.0966666666666668E-2</v>
      </c>
    </row>
    <row r="8" spans="1:47" ht="15.75" customHeight="1">
      <c r="A8" s="44">
        <v>2.5</v>
      </c>
      <c r="B8" s="46">
        <v>3.71</v>
      </c>
      <c r="C8" s="46">
        <v>2.5</v>
      </c>
      <c r="D8" s="47">
        <v>-2.86</v>
      </c>
      <c r="G8" s="1" t="s">
        <v>191</v>
      </c>
      <c r="J8" s="48">
        <f>(B9*148)/(100)</f>
        <v>7.5036000000000005</v>
      </c>
      <c r="L8" s="49">
        <f>(D9*148)/(100)</f>
        <v>-5.6831999999999994</v>
      </c>
      <c r="N8" s="49">
        <f>(A9*148)/(100)</f>
        <v>7.4</v>
      </c>
      <c r="P8" s="50">
        <f>((J8+L8)/2)</f>
        <v>0.91020000000000056</v>
      </c>
      <c r="R8" s="51">
        <f>J8/30</f>
        <v>0.25012000000000001</v>
      </c>
      <c r="S8" s="34"/>
      <c r="T8" s="52">
        <f>L8/30</f>
        <v>-0.18943999999999997</v>
      </c>
      <c r="U8" s="34"/>
      <c r="V8" s="52">
        <f>N8/30</f>
        <v>0.24666666666666667</v>
      </c>
      <c r="W8" s="34"/>
      <c r="X8" s="43">
        <f>P8/30</f>
        <v>3.034000000000002E-2</v>
      </c>
    </row>
    <row r="9" spans="1:47" ht="16.5" customHeight="1">
      <c r="A9" s="44">
        <v>5</v>
      </c>
      <c r="B9" s="46">
        <v>5.07</v>
      </c>
      <c r="C9" s="46">
        <v>5</v>
      </c>
      <c r="D9" s="47">
        <v>-3.84</v>
      </c>
      <c r="J9" s="39">
        <f>(B10*148)/(100)</f>
        <v>8.9687999999999999</v>
      </c>
      <c r="L9" s="40">
        <f>(D10*148)/(100)</f>
        <v>-6.6155999999999997</v>
      </c>
      <c r="N9" s="40">
        <f>(A10*148)/(100)</f>
        <v>11.1</v>
      </c>
      <c r="P9" s="50">
        <f>((J9+L9)/2)</f>
        <v>1.1766000000000001</v>
      </c>
      <c r="R9" s="41">
        <f>J9/30</f>
        <v>0.29896</v>
      </c>
      <c r="S9" s="34"/>
      <c r="T9" s="42">
        <f>L9/30</f>
        <v>-0.22051999999999999</v>
      </c>
      <c r="U9" s="34"/>
      <c r="V9" s="42">
        <f>N9/30</f>
        <v>0.37</v>
      </c>
      <c r="W9" s="34"/>
      <c r="X9" s="43">
        <f>P9/30</f>
        <v>3.9220000000000005E-2</v>
      </c>
    </row>
    <row r="10" spans="1:47" ht="16.5" customHeight="1">
      <c r="A10" s="44">
        <v>7.5</v>
      </c>
      <c r="B10" s="46">
        <v>6.06</v>
      </c>
      <c r="C10" s="46">
        <v>7.5</v>
      </c>
      <c r="D10" s="47">
        <v>-4.47</v>
      </c>
      <c r="G10" s="1" t="s">
        <v>192</v>
      </c>
      <c r="J10" s="48">
        <f>(B11*148)/(100)</f>
        <v>10.1084</v>
      </c>
      <c r="L10" s="49">
        <f>(D11*148)/(100)</f>
        <v>-7.2520000000000007</v>
      </c>
      <c r="N10" s="49">
        <f>(A11*148)/(100)</f>
        <v>14.8</v>
      </c>
      <c r="P10" s="50">
        <f>((J10+L10)/2)</f>
        <v>1.4281999999999995</v>
      </c>
      <c r="R10" s="51">
        <f>J10/30</f>
        <v>0.33694666666666667</v>
      </c>
      <c r="S10" s="34"/>
      <c r="T10" s="52">
        <f>L10/30</f>
        <v>-0.24173333333333336</v>
      </c>
      <c r="U10" s="34"/>
      <c r="V10" s="52">
        <f>N10/30</f>
        <v>0.49333333333333335</v>
      </c>
      <c r="W10" s="34"/>
      <c r="X10" s="43">
        <f>P10/30</f>
        <v>4.7606666666666651E-2</v>
      </c>
      <c r="AL10" s="53" t="s">
        <v>193</v>
      </c>
      <c r="AM10" s="54" t="s">
        <v>194</v>
      </c>
      <c r="AN10" s="54" t="s">
        <v>195</v>
      </c>
      <c r="AO10" s="54" t="s">
        <v>196</v>
      </c>
      <c r="AP10" s="54" t="s">
        <v>197</v>
      </c>
      <c r="AQ10" s="54" t="s">
        <v>198</v>
      </c>
      <c r="AR10" s="54" t="s">
        <v>199</v>
      </c>
      <c r="AS10" s="54" t="s">
        <v>200</v>
      </c>
      <c r="AT10" s="54" t="s">
        <v>201</v>
      </c>
      <c r="AU10" s="54" t="s">
        <v>202</v>
      </c>
    </row>
    <row r="11" spans="1:47" ht="16.5" customHeight="1">
      <c r="A11" s="44">
        <v>10</v>
      </c>
      <c r="B11" s="46">
        <v>6.83</v>
      </c>
      <c r="C11" s="46">
        <v>10</v>
      </c>
      <c r="D11" s="47">
        <v>-4.9000000000000004</v>
      </c>
      <c r="E11" s="15">
        <v>0</v>
      </c>
      <c r="J11" s="39">
        <f>(B12*148)/(100)</f>
        <v>11.7956</v>
      </c>
      <c r="L11" s="40">
        <f>(D12*148)/(100)</f>
        <v>-8.0215999999999994</v>
      </c>
      <c r="N11" s="40">
        <f>(A12*148)/(100)</f>
        <v>22.2</v>
      </c>
      <c r="P11" s="50">
        <f>((J11+L11)/2)</f>
        <v>1.8870000000000005</v>
      </c>
      <c r="R11" s="41">
        <f>J11/30</f>
        <v>0.39318666666666668</v>
      </c>
      <c r="S11" s="34"/>
      <c r="T11" s="42">
        <f>L11/30</f>
        <v>-0.26738666666666666</v>
      </c>
      <c r="U11" s="34"/>
      <c r="V11" s="42">
        <f>N11/30</f>
        <v>0.74</v>
      </c>
      <c r="W11" s="34"/>
      <c r="X11" s="43">
        <f>P11/30</f>
        <v>6.2900000000000011E-2</v>
      </c>
      <c r="AL11" s="55"/>
      <c r="AM11" s="56"/>
      <c r="AN11" s="56"/>
      <c r="AO11" s="56"/>
      <c r="AP11" s="56"/>
      <c r="AQ11" s="56"/>
      <c r="AR11" s="56"/>
      <c r="AS11" s="56"/>
      <c r="AT11" s="56"/>
      <c r="AU11" s="56"/>
    </row>
    <row r="12" spans="1:47" ht="16.5" customHeight="1">
      <c r="A12" s="44">
        <v>15</v>
      </c>
      <c r="B12" s="46">
        <v>7.97</v>
      </c>
      <c r="C12" s="46">
        <v>15</v>
      </c>
      <c r="D12" s="47">
        <v>-5.42</v>
      </c>
      <c r="J12" s="48">
        <f>(B13*148)/(100)</f>
        <v>12.875999999999999</v>
      </c>
      <c r="L12" s="49">
        <f>(D13*148)/(100)</f>
        <v>-8.3768000000000011</v>
      </c>
      <c r="N12" s="49">
        <f>(A13*148)/(100)</f>
        <v>29.6</v>
      </c>
      <c r="P12" s="50">
        <f>((J12+L12)/2)</f>
        <v>2.2495999999999992</v>
      </c>
      <c r="R12" s="51">
        <f>J12/30</f>
        <v>0.42919999999999997</v>
      </c>
      <c r="S12" s="34"/>
      <c r="T12" s="52">
        <f>L12/30</f>
        <v>-0.27922666666666668</v>
      </c>
      <c r="U12" s="34"/>
      <c r="V12" s="52">
        <f>N12/30</f>
        <v>0.98666666666666669</v>
      </c>
      <c r="W12" s="34"/>
      <c r="X12" s="43">
        <f>P12/30</f>
        <v>7.4986666666666632E-2</v>
      </c>
      <c r="AL12" s="55"/>
      <c r="AM12" s="57"/>
      <c r="AN12" s="57"/>
      <c r="AO12" s="57"/>
      <c r="AP12" s="57"/>
      <c r="AQ12" s="57"/>
      <c r="AR12" s="57"/>
      <c r="AS12" s="57"/>
      <c r="AT12" s="57"/>
      <c r="AU12" s="57"/>
    </row>
    <row r="13" spans="1:47" ht="16.5" customHeight="1">
      <c r="A13" s="44">
        <v>20</v>
      </c>
      <c r="B13" s="46">
        <v>8.6999999999999993</v>
      </c>
      <c r="C13" s="46">
        <v>20</v>
      </c>
      <c r="D13" s="47">
        <v>-5.66</v>
      </c>
      <c r="G13" s="1" t="s">
        <v>203</v>
      </c>
      <c r="J13" s="39">
        <f>(B14*148)/(100)</f>
        <v>13.5716</v>
      </c>
      <c r="L13" s="40">
        <f>(D14*148)/(100)</f>
        <v>-8.4359999999999999</v>
      </c>
      <c r="N13" s="40">
        <f>(A14*148)/(100)</f>
        <v>37</v>
      </c>
      <c r="P13" s="50">
        <f>((J13+L13)/2)</f>
        <v>2.5678000000000001</v>
      </c>
      <c r="R13" s="41">
        <f>J13/30</f>
        <v>0.45238666666666666</v>
      </c>
      <c r="S13" s="34"/>
      <c r="T13" s="42">
        <f>L13/30</f>
        <v>-0.28120000000000001</v>
      </c>
      <c r="U13" s="34"/>
      <c r="V13" s="42">
        <f>N13/30</f>
        <v>1.2333333333333334</v>
      </c>
      <c r="W13" s="34"/>
      <c r="X13" s="43">
        <f>P13/30</f>
        <v>8.5593333333333341E-2</v>
      </c>
      <c r="AL13" s="58">
        <v>0</v>
      </c>
      <c r="AM13" s="59">
        <v>-1.96</v>
      </c>
      <c r="AN13" s="60">
        <f>18.24*(-0.015285035)*(AL13)</f>
        <v>0</v>
      </c>
      <c r="AO13" s="60">
        <f>AM13+AN13</f>
        <v>-1.96</v>
      </c>
      <c r="AP13" s="61">
        <v>8.3999999999999995E-3</v>
      </c>
      <c r="AQ13" s="62">
        <f>0.318*(-0.015285035)*(AL13)^2</f>
        <v>0</v>
      </c>
      <c r="AR13" s="62">
        <f>AP13+AQ13</f>
        <v>8.3999999999999995E-3</v>
      </c>
      <c r="AS13" s="63">
        <f>COS(AO13*PI()/180)</f>
        <v>0.99941494791663232</v>
      </c>
      <c r="AT13" s="63">
        <f>SIN(AO13*PI()/180)</f>
        <v>-3.4201781836552717E-2</v>
      </c>
      <c r="AU13" s="63">
        <f>AL13*AS13</f>
        <v>0</v>
      </c>
    </row>
    <row r="14" spans="1:47" ht="16.5" customHeight="1">
      <c r="A14" s="44">
        <v>25</v>
      </c>
      <c r="B14" s="46">
        <v>9.17</v>
      </c>
      <c r="C14" s="46">
        <v>25</v>
      </c>
      <c r="D14" s="47">
        <v>-5.7</v>
      </c>
      <c r="J14" s="48">
        <f>(B15*148)/(100)</f>
        <v>13.882400000000001</v>
      </c>
      <c r="L14" s="49">
        <f>(D15*148)/(100)</f>
        <v>-8.3176000000000005</v>
      </c>
      <c r="N14" s="49">
        <f>(A15*148)/(100)</f>
        <v>44.4</v>
      </c>
      <c r="P14" s="50">
        <f>((J14+L14)/2)</f>
        <v>2.7824</v>
      </c>
      <c r="R14" s="51">
        <f>J14/30</f>
        <v>0.4627466666666667</v>
      </c>
      <c r="S14" s="34"/>
      <c r="T14" s="52">
        <f>L14/30</f>
        <v>-0.27725333333333335</v>
      </c>
      <c r="U14" s="34"/>
      <c r="V14" s="52">
        <f>N14/30</f>
        <v>1.48</v>
      </c>
      <c r="W14" s="34"/>
      <c r="X14" s="43">
        <f>P14/30</f>
        <v>9.2746666666666672E-2</v>
      </c>
      <c r="AL14" s="58">
        <v>0.2</v>
      </c>
      <c r="AM14" s="59">
        <v>0.99</v>
      </c>
      <c r="AN14" s="60">
        <f>18.24*(-0.015285035)*(AL14)</f>
        <v>-5.5759807679999995E-2</v>
      </c>
      <c r="AO14" s="60">
        <f>AM14+AN14</f>
        <v>0.93424019232</v>
      </c>
      <c r="AP14" s="61">
        <v>1.1299999999999999E-2</v>
      </c>
      <c r="AQ14" s="62">
        <f>0.318*(-0.015285035)*(AL14)^2</f>
        <v>-1.9442564520000003E-4</v>
      </c>
      <c r="AR14" s="62">
        <f>AP14+AQ14</f>
        <v>1.1105574354799998E-2</v>
      </c>
      <c r="AS14" s="63">
        <f>COS(AO14*PI()/180)</f>
        <v>0.99986706718182039</v>
      </c>
      <c r="AT14" s="63">
        <f>SIN(AO14*PI()/180)</f>
        <v>1.6304844839038695E-2</v>
      </c>
      <c r="AU14" s="63">
        <f>AL14*AS14</f>
        <v>0.1999734134363641</v>
      </c>
    </row>
    <row r="15" spans="1:47" ht="16.5" customHeight="1">
      <c r="A15" s="44">
        <v>30</v>
      </c>
      <c r="B15" s="46">
        <v>9.3800000000000008</v>
      </c>
      <c r="C15" s="46">
        <v>30</v>
      </c>
      <c r="D15" s="47">
        <v>-5.62</v>
      </c>
      <c r="G15" s="1" t="s">
        <v>192</v>
      </c>
      <c r="J15" s="39">
        <f>(B16*148)/(100)</f>
        <v>13.69</v>
      </c>
      <c r="L15" s="40">
        <f>(D16*148)/(100)</f>
        <v>-7.77</v>
      </c>
      <c r="N15" s="40">
        <f>(A16*148)/(100)</f>
        <v>59.2</v>
      </c>
      <c r="P15" s="50">
        <f>((J15+L15)/2)</f>
        <v>2.96</v>
      </c>
      <c r="R15" s="41">
        <f>J15/30</f>
        <v>0.45633333333333331</v>
      </c>
      <c r="S15" s="34"/>
      <c r="T15" s="42">
        <f>L15/30</f>
        <v>-0.25900000000000001</v>
      </c>
      <c r="U15" s="34"/>
      <c r="V15" s="42">
        <f>N15/30</f>
        <v>1.9733333333333334</v>
      </c>
      <c r="W15" s="34"/>
      <c r="X15" s="43">
        <f>P15/30</f>
        <v>9.8666666666666666E-2</v>
      </c>
      <c r="AL15" s="58">
        <v>0.4</v>
      </c>
      <c r="AM15" s="59">
        <v>3.79</v>
      </c>
      <c r="AN15" s="60">
        <f>18.24*(-0.015285035)*(AL15)</f>
        <v>-0.11151961535999999</v>
      </c>
      <c r="AO15" s="60">
        <f>AM15+AN15</f>
        <v>3.6784803846400003</v>
      </c>
      <c r="AP15" s="61">
        <v>1.9199999999999998E-2</v>
      </c>
      <c r="AQ15" s="62">
        <f>0.318*(-0.015285035)*(AL15)^2</f>
        <v>-7.7770258080000012E-4</v>
      </c>
      <c r="AR15" s="62">
        <f>AP15+AQ15</f>
        <v>1.8422297419199998E-2</v>
      </c>
      <c r="AS15" s="63">
        <f>COS(AO15*PI()/180)</f>
        <v>0.99793978545514439</v>
      </c>
      <c r="AT15" s="63">
        <f>SIN(AO15*PI()/180)</f>
        <v>6.4157498437363417E-2</v>
      </c>
      <c r="AU15" s="63">
        <f>AL15*AS15</f>
        <v>0.39917591418205778</v>
      </c>
    </row>
    <row r="16" spans="1:47" ht="16.5" customHeight="1">
      <c r="A16" s="44">
        <v>40</v>
      </c>
      <c r="B16" s="46">
        <v>9.25</v>
      </c>
      <c r="C16" s="46">
        <v>40</v>
      </c>
      <c r="D16" s="47">
        <v>-5.25</v>
      </c>
      <c r="J16" s="48">
        <f>(B17*148)/(100)</f>
        <v>12.683600000000002</v>
      </c>
      <c r="L16" s="49">
        <f>(D17*148)/(100)</f>
        <v>-6.9116</v>
      </c>
      <c r="N16" s="49">
        <f>(A17*148)/(100)</f>
        <v>74</v>
      </c>
      <c r="P16" s="50">
        <f>((J16+L16)/2)</f>
        <v>2.886000000000001</v>
      </c>
      <c r="R16" s="51">
        <f>J16/30</f>
        <v>0.42278666666666675</v>
      </c>
      <c r="S16" s="34"/>
      <c r="T16" s="52">
        <f>L16/30</f>
        <v>-0.23038666666666666</v>
      </c>
      <c r="U16" s="34"/>
      <c r="V16" s="52">
        <f>N16/30</f>
        <v>2.4666666666666668</v>
      </c>
      <c r="W16" s="34"/>
      <c r="X16" s="43">
        <f>P16/30</f>
        <v>9.6200000000000035E-2</v>
      </c>
      <c r="AL16" s="64">
        <v>0.6</v>
      </c>
      <c r="AM16" s="65">
        <v>6.38</v>
      </c>
      <c r="AN16" s="66">
        <f>18.24*(-0.015285035)*(AL16)</f>
        <v>-0.16727942303999999</v>
      </c>
      <c r="AO16" s="66">
        <f>AM16+AN16</f>
        <v>6.2127205769599998</v>
      </c>
      <c r="AP16" s="67">
        <v>3.0700000000000002E-2</v>
      </c>
      <c r="AQ16" s="68">
        <f>0.318*(-0.015285035)*(AL16)^2</f>
        <v>-1.7498308068E-3</v>
      </c>
      <c r="AR16" s="68">
        <f>AP16+AQ16</f>
        <v>2.8950169193200002E-2</v>
      </c>
      <c r="AS16" s="63">
        <f>COS(AO16*PI()/180)</f>
        <v>0.9941269618914913</v>
      </c>
      <c r="AT16" s="63">
        <f>SIN(AO16*PI()/180)</f>
        <v>0.10822007041391798</v>
      </c>
      <c r="AU16" s="63">
        <f>AL16*AS16</f>
        <v>0.59647617713489476</v>
      </c>
    </row>
    <row r="17" spans="1:47" ht="16.5" customHeight="1">
      <c r="A17" s="44">
        <v>50</v>
      </c>
      <c r="B17" s="46">
        <v>8.57</v>
      </c>
      <c r="C17" s="46">
        <v>50</v>
      </c>
      <c r="D17" s="47">
        <v>-4.67</v>
      </c>
      <c r="J17" s="39">
        <f>(B18*148)/(100)</f>
        <v>11.1</v>
      </c>
      <c r="L17" s="40">
        <f>(D18*148)/(100)</f>
        <v>-5.7719999999999994</v>
      </c>
      <c r="N17" s="40">
        <f>(A18*148)/(100)</f>
        <v>88.8</v>
      </c>
      <c r="P17" s="50">
        <f>((J17+L17)/2)</f>
        <v>2.6640000000000001</v>
      </c>
      <c r="R17" s="41">
        <f>J17/30</f>
        <v>0.37</v>
      </c>
      <c r="S17" s="34"/>
      <c r="T17" s="42">
        <f>L17/30</f>
        <v>-0.19239999999999999</v>
      </c>
      <c r="U17" s="34"/>
      <c r="V17" s="42">
        <f>N17/30</f>
        <v>2.96</v>
      </c>
      <c r="W17" s="34"/>
      <c r="X17" s="43">
        <f>P17/30</f>
        <v>8.8800000000000004E-2</v>
      </c>
      <c r="AL17" s="58">
        <v>0.8</v>
      </c>
      <c r="AM17" s="59">
        <v>9.0299999999999994</v>
      </c>
      <c r="AN17" s="60">
        <f>18.24*(-0.015285035)*(AL17)</f>
        <v>-0.22303923071999998</v>
      </c>
      <c r="AO17" s="60">
        <f>AM17+AN17</f>
        <v>8.8069607692799998</v>
      </c>
      <c r="AP17" s="61">
        <v>4.7100000000000003E-2</v>
      </c>
      <c r="AQ17" s="62">
        <f>0.318*(-0.015285035)*(AL17)^2</f>
        <v>-3.1108103232000005E-3</v>
      </c>
      <c r="AR17" s="62">
        <f>AP17+AQ17</f>
        <v>4.3989189676800003E-2</v>
      </c>
      <c r="AS17" s="63">
        <f>COS(AO17*PI()/180)</f>
        <v>0.98820978815809901</v>
      </c>
      <c r="AT17" s="63">
        <f>SIN(AO17*PI()/180)</f>
        <v>0.153105893382734</v>
      </c>
      <c r="AU17" s="63">
        <f>AL17*AS17</f>
        <v>0.79056783052647928</v>
      </c>
    </row>
    <row r="18" spans="1:47" ht="16.5" customHeight="1">
      <c r="A18" s="44">
        <v>60</v>
      </c>
      <c r="B18" s="46">
        <v>7.5</v>
      </c>
      <c r="C18" s="46">
        <v>60</v>
      </c>
      <c r="D18" s="47">
        <v>-3.9</v>
      </c>
      <c r="G18" s="1" t="s">
        <v>204</v>
      </c>
      <c r="J18" s="48">
        <f>(B19*148)/(100)</f>
        <v>9.0279999999999987</v>
      </c>
      <c r="L18" s="49">
        <f>(D19*148)/(100)</f>
        <v>-4.5139999999999993</v>
      </c>
      <c r="N18" s="49">
        <f>(A19*148)/(100)</f>
        <v>103.6</v>
      </c>
      <c r="P18" s="50">
        <f>((J18+L18)/2)</f>
        <v>2.2569999999999997</v>
      </c>
      <c r="R18" s="51">
        <f>J18/30</f>
        <v>0.30093333333333327</v>
      </c>
      <c r="S18" s="34"/>
      <c r="T18" s="52">
        <f>L18/30</f>
        <v>-0.15046666666666664</v>
      </c>
      <c r="U18" s="34"/>
      <c r="V18" s="52">
        <f>N18/30</f>
        <v>3.4533333333333331</v>
      </c>
      <c r="W18" s="34"/>
      <c r="X18" s="43">
        <f>P18/30</f>
        <v>7.5233333333333319E-2</v>
      </c>
      <c r="AL18" s="69">
        <v>1</v>
      </c>
      <c r="AM18" s="59">
        <v>12.03</v>
      </c>
      <c r="AN18" s="60">
        <f>18.24*(-0.015285035)*(AL18)</f>
        <v>-0.27879903839999998</v>
      </c>
      <c r="AO18" s="60">
        <f>AM18+AN18</f>
        <v>11.751200961599999</v>
      </c>
      <c r="AP18" s="61">
        <v>7.0999999999999994E-2</v>
      </c>
      <c r="AQ18" s="62">
        <f>0.318*(-0.015285035)*(AL18)^2</f>
        <v>-4.8606411300000001E-3</v>
      </c>
      <c r="AR18" s="62">
        <f>AP18+AQ18</f>
        <v>6.6139358869999998E-2</v>
      </c>
      <c r="AS18" s="63">
        <f>COS(AO18*PI()/180)</f>
        <v>0.9790412037889118</v>
      </c>
      <c r="AT18" s="63">
        <f>SIN(AO18*PI()/180)</f>
        <v>0.20366227260727107</v>
      </c>
      <c r="AU18" s="63">
        <f>AL18*AS18</f>
        <v>0.9790412037889118</v>
      </c>
    </row>
    <row r="19" spans="1:47" ht="16.5" customHeight="1">
      <c r="A19" s="44">
        <v>70</v>
      </c>
      <c r="B19" s="46">
        <v>6.1</v>
      </c>
      <c r="C19" s="46">
        <v>70</v>
      </c>
      <c r="D19" s="47">
        <v>-3.05</v>
      </c>
      <c r="J19" s="39">
        <f>(B20*148)/(100)</f>
        <v>6.5268000000000006</v>
      </c>
      <c r="L19" s="40">
        <f>(D20*148)/(100)</f>
        <v>-3.1819999999999999</v>
      </c>
      <c r="N19" s="40">
        <f>(A20*148)/(100)</f>
        <v>118.4</v>
      </c>
      <c r="P19" s="50">
        <f>((J19+L19)/2)</f>
        <v>1.6724000000000003</v>
      </c>
      <c r="R19" s="41">
        <f>J19/30</f>
        <v>0.21756000000000003</v>
      </c>
      <c r="S19" s="34"/>
      <c r="T19" s="42">
        <f>L19/30</f>
        <v>-0.10606666666666667</v>
      </c>
      <c r="U19" s="34"/>
      <c r="V19" s="42">
        <f>N19/30</f>
        <v>3.9466666666666668</v>
      </c>
      <c r="W19" s="34"/>
      <c r="X19" s="43">
        <f>P19/30</f>
        <v>5.574666666666668E-2</v>
      </c>
      <c r="AL19" s="70">
        <v>1.2</v>
      </c>
      <c r="AM19" s="59">
        <v>14.77</v>
      </c>
      <c r="AN19" s="60">
        <f>18.24*(-0.015285035)*(AL19)</f>
        <v>-0.33455884607999997</v>
      </c>
      <c r="AO19" s="60">
        <f>AM19+AN19</f>
        <v>14.435441153919999</v>
      </c>
      <c r="AP19" s="61">
        <v>9.9599999999999994E-2</v>
      </c>
      <c r="AQ19" s="62">
        <f>0.318*(-0.015285035)*(AL19)^2</f>
        <v>-6.9993232272000001E-3</v>
      </c>
      <c r="AR19" s="62">
        <f>AP19+AQ19</f>
        <v>9.2600676772799997E-2</v>
      </c>
      <c r="AS19" s="63">
        <f>COS(AO19*PI()/180)</f>
        <v>0.96842914502068456</v>
      </c>
      <c r="AT19" s="63">
        <f>SIN(AO19*PI()/180)</f>
        <v>0.24928897102460409</v>
      </c>
      <c r="AU19" s="63">
        <f>AL19*AS19</f>
        <v>1.1621149740248213</v>
      </c>
    </row>
    <row r="20" spans="1:47" ht="16.5" customHeight="1">
      <c r="A20" s="44">
        <v>80</v>
      </c>
      <c r="B20" s="46">
        <v>4.41</v>
      </c>
      <c r="C20" s="46">
        <v>80</v>
      </c>
      <c r="D20" s="47">
        <v>-2.15</v>
      </c>
      <c r="G20" s="1" t="s">
        <v>205</v>
      </c>
      <c r="J20" s="48">
        <f>(B21*148)/(100)</f>
        <v>3.6260000000000003</v>
      </c>
      <c r="L20" s="49">
        <f>(D21*148)/(100)</f>
        <v>-1.7316</v>
      </c>
      <c r="N20" s="49">
        <f>(A21*148)/(100)</f>
        <v>133.19999999999999</v>
      </c>
      <c r="P20" s="50">
        <f>((J20+L20)/2)</f>
        <v>0.94720000000000015</v>
      </c>
      <c r="R20" s="51">
        <f>J20/30</f>
        <v>0.12086666666666668</v>
      </c>
      <c r="S20" s="34"/>
      <c r="T20" s="52">
        <f>L20/30</f>
        <v>-5.772E-2</v>
      </c>
      <c r="U20" s="34"/>
      <c r="V20" s="52">
        <f>N20/30</f>
        <v>4.4399999999999995</v>
      </c>
      <c r="W20" s="34"/>
      <c r="X20" s="43">
        <f>P20/30</f>
        <v>3.1573333333333335E-2</v>
      </c>
      <c r="AL20" s="58">
        <v>1.4</v>
      </c>
      <c r="AM20" s="59">
        <v>18.07</v>
      </c>
      <c r="AN20" s="60">
        <f>18.24*(-0.015285035)*(AL20)</f>
        <v>-0.39031865375999997</v>
      </c>
      <c r="AO20" s="60">
        <f>AM20+AN20</f>
        <v>17.679681346239999</v>
      </c>
      <c r="AP20" s="61">
        <v>0.13719999999999999</v>
      </c>
      <c r="AQ20" s="62">
        <f>0.318*(-0.015285035)*(AL20)^2</f>
        <v>-9.5268566147999993E-3</v>
      </c>
      <c r="AR20" s="62">
        <f>AP20+AQ20</f>
        <v>0.1276731433852</v>
      </c>
      <c r="AS20" s="63">
        <f>COS(AO20*PI()/180)</f>
        <v>0.95276923980393458</v>
      </c>
      <c r="AT20" s="63">
        <f>SIN(AO20*PI()/180)</f>
        <v>0.30369520194338379</v>
      </c>
      <c r="AU20" s="63">
        <f>AL20*AS20</f>
        <v>1.3338769357255083</v>
      </c>
    </row>
    <row r="21" spans="1:47" ht="16.5" customHeight="1">
      <c r="A21" s="44">
        <v>90</v>
      </c>
      <c r="B21" s="46">
        <v>2.4500000000000002</v>
      </c>
      <c r="C21" s="46">
        <v>90</v>
      </c>
      <c r="D21" s="47">
        <v>-1.17</v>
      </c>
      <c r="J21" s="39">
        <f>(B22*148)/(100)</f>
        <v>1.9832000000000003</v>
      </c>
      <c r="L21" s="40">
        <f>(D22*148)/(100)</f>
        <v>-1.0064</v>
      </c>
      <c r="N21" s="40">
        <f>(A22*148)/(100)</f>
        <v>140.6</v>
      </c>
      <c r="P21" s="50">
        <f>((J21+L21)/2)</f>
        <v>0.48840000000000017</v>
      </c>
      <c r="R21" s="41">
        <f>J21/30</f>
        <v>6.6106666666666675E-2</v>
      </c>
      <c r="S21" s="34"/>
      <c r="T21" s="42">
        <f>L21/30</f>
        <v>-3.3546666666666662E-2</v>
      </c>
      <c r="U21" s="34"/>
      <c r="V21" s="42">
        <f>N21/30</f>
        <v>4.6866666666666665</v>
      </c>
      <c r="W21" s="34"/>
      <c r="X21" s="43">
        <f>P21/30</f>
        <v>1.6280000000000006E-2</v>
      </c>
      <c r="AL21" s="71">
        <v>1.54</v>
      </c>
      <c r="AM21" s="59">
        <v>21.9</v>
      </c>
      <c r="AN21" s="60">
        <f>18.24*(-0.015285035)*(AL21)</f>
        <v>-0.42935051913599998</v>
      </c>
      <c r="AO21" s="60">
        <f>AM21+AN21</f>
        <v>21.470649480863997</v>
      </c>
      <c r="AP21" s="61">
        <v>0.1898</v>
      </c>
      <c r="AQ21" s="62">
        <f>0.318*(-0.015285035)*(AL21)^2</f>
        <v>-1.1527496503908E-2</v>
      </c>
      <c r="AR21" s="62">
        <f>AP21+AQ21</f>
        <v>0.178272503496092</v>
      </c>
      <c r="AS21" s="63">
        <f>COS(AO21*PI()/180)</f>
        <v>0.93060519098648642</v>
      </c>
      <c r="AT21" s="63">
        <f>SIN(AO21*PI()/180)</f>
        <v>0.36602455998061822</v>
      </c>
      <c r="AU21" s="63">
        <f>AL21*AS21</f>
        <v>1.4331319941191891</v>
      </c>
    </row>
    <row r="22" spans="1:47" ht="16.5" customHeight="1">
      <c r="A22" s="44">
        <v>95</v>
      </c>
      <c r="B22" s="46">
        <v>1.34</v>
      </c>
      <c r="C22" s="46">
        <v>95</v>
      </c>
      <c r="D22" s="47">
        <v>-0.68</v>
      </c>
      <c r="G22" s="1" t="s">
        <v>206</v>
      </c>
      <c r="J22" s="72">
        <f>(B23*148)/(100)</f>
        <v>0.23680000000000001</v>
      </c>
      <c r="K22" s="73"/>
      <c r="L22" s="74">
        <f>(D23*148)/(100)</f>
        <v>-0.23680000000000001</v>
      </c>
      <c r="M22" s="73"/>
      <c r="N22" s="74">
        <f>(A23*148)/(100)</f>
        <v>148</v>
      </c>
      <c r="O22" s="73"/>
      <c r="P22" s="50">
        <f>((J22+L22)/2)</f>
        <v>0</v>
      </c>
      <c r="R22" s="75">
        <f>J22/30</f>
        <v>7.8933333333333338E-3</v>
      </c>
      <c r="S22" s="76"/>
      <c r="T22" s="77">
        <f>L22/30</f>
        <v>-7.8933333333333338E-3</v>
      </c>
      <c r="U22" s="76"/>
      <c r="V22" s="77">
        <f>N22/30</f>
        <v>4.9333333333333336</v>
      </c>
      <c r="W22" s="76"/>
      <c r="X22" s="43">
        <f>P22/30</f>
        <v>0</v>
      </c>
    </row>
    <row r="23" spans="1:47" ht="15.75" customHeight="1">
      <c r="A23" s="44">
        <v>100</v>
      </c>
      <c r="B23" s="46">
        <v>0.16</v>
      </c>
      <c r="C23" s="46">
        <v>100</v>
      </c>
      <c r="D23" s="47">
        <v>-0.16</v>
      </c>
      <c r="AL23" s="53" t="s">
        <v>207</v>
      </c>
      <c r="AM23" s="54" t="s">
        <v>208</v>
      </c>
      <c r="AN23" s="54" t="s">
        <v>209</v>
      </c>
      <c r="AO23" s="54" t="s">
        <v>210</v>
      </c>
      <c r="AP23" s="54" t="s">
        <v>211</v>
      </c>
      <c r="AQ23" s="54" t="s">
        <v>212</v>
      </c>
      <c r="AR23" s="54" t="s">
        <v>213</v>
      </c>
      <c r="AS23" s="54" t="s">
        <v>214</v>
      </c>
      <c r="AT23" s="54" t="s">
        <v>215</v>
      </c>
      <c r="AU23" s="54" t="s">
        <v>216</v>
      </c>
    </row>
    <row r="24" spans="1:47" ht="15.75" customHeight="1">
      <c r="A24" s="78">
        <v>100</v>
      </c>
      <c r="B24" s="79" t="s">
        <v>190</v>
      </c>
      <c r="C24" s="80">
        <v>100</v>
      </c>
      <c r="D24" s="81">
        <v>0</v>
      </c>
      <c r="G24" s="1" t="s">
        <v>217</v>
      </c>
      <c r="AL24" s="55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ht="24" customHeight="1">
      <c r="B25" s="444" t="s">
        <v>218</v>
      </c>
      <c r="C25" s="444"/>
      <c r="J25" s="441" t="s">
        <v>98</v>
      </c>
      <c r="K25" s="441"/>
      <c r="L25" s="441"/>
      <c r="M25" s="441"/>
      <c r="N25" s="441"/>
      <c r="O25" s="441"/>
      <c r="P25" s="441"/>
      <c r="R25" s="441" t="s">
        <v>219</v>
      </c>
      <c r="S25" s="441"/>
      <c r="T25" s="441"/>
      <c r="U25" s="441"/>
      <c r="V25" s="441"/>
      <c r="W25" s="441"/>
      <c r="X25" s="441"/>
      <c r="AL25" s="82"/>
      <c r="AM25" s="57"/>
      <c r="AN25" s="57"/>
      <c r="AO25" s="57"/>
      <c r="AP25" s="57"/>
      <c r="AQ25" s="57"/>
      <c r="AR25" s="57"/>
      <c r="AS25" s="57"/>
      <c r="AT25" s="57"/>
      <c r="AU25" s="57"/>
    </row>
    <row r="26" spans="1:47" ht="15.75" customHeight="1">
      <c r="B26" s="1" t="s">
        <v>220</v>
      </c>
      <c r="J26" s="31" t="s">
        <v>181</v>
      </c>
      <c r="L26" s="1" t="s">
        <v>182</v>
      </c>
      <c r="N26" s="1" t="s">
        <v>183</v>
      </c>
      <c r="P26" s="32" t="s">
        <v>184</v>
      </c>
      <c r="R26" s="31" t="s">
        <v>181</v>
      </c>
      <c r="T26" s="1" t="s">
        <v>182</v>
      </c>
      <c r="V26" s="1" t="s">
        <v>183</v>
      </c>
      <c r="X26" s="32" t="s">
        <v>184</v>
      </c>
      <c r="AL26" s="83">
        <f>AR13+AT13</f>
        <v>-2.5801781836552719E-2</v>
      </c>
      <c r="AM26" s="84">
        <f>AU13+AL26</f>
        <v>-2.5801781836552719E-2</v>
      </c>
      <c r="AN26" s="63">
        <f>AL13*AT13</f>
        <v>0</v>
      </c>
      <c r="AO26" s="63">
        <f>AR13*AS13</f>
        <v>8.3950855624997118E-3</v>
      </c>
      <c r="AP26" s="62">
        <f>AO26-AN26</f>
        <v>8.3950855624997118E-3</v>
      </c>
      <c r="AQ26" s="85" t="s">
        <v>221</v>
      </c>
      <c r="AR26" s="57" t="s">
        <v>221</v>
      </c>
      <c r="AS26" s="57" t="s">
        <v>221</v>
      </c>
      <c r="AT26" s="62">
        <f>(AQ13)/(-0.015285035*6.58)</f>
        <v>0</v>
      </c>
      <c r="AU26" s="62">
        <f>AR13-AT26</f>
        <v>8.3999999999999995E-3</v>
      </c>
    </row>
    <row r="27" spans="1:47" ht="15.75" customHeight="1">
      <c r="F27" s="1" t="s">
        <v>120</v>
      </c>
      <c r="G27" s="1">
        <f>D30/D29</f>
        <v>0.5</v>
      </c>
      <c r="J27" s="31"/>
      <c r="P27" s="32"/>
      <c r="R27" s="31"/>
      <c r="X27" s="32"/>
      <c r="AL27" s="83">
        <f>AR14+AT14</f>
        <v>2.7410419193838693E-2</v>
      </c>
      <c r="AM27" s="84">
        <f>AU14+AL27</f>
        <v>0.22738383263020279</v>
      </c>
      <c r="AN27" s="63">
        <f>AL14*AT14</f>
        <v>3.2609689678077393E-3</v>
      </c>
      <c r="AO27" s="63">
        <f>AR14*AS14</f>
        <v>1.1104098059503511E-2</v>
      </c>
      <c r="AP27" s="62">
        <f>AO27-AN27</f>
        <v>7.8431290916957715E-3</v>
      </c>
      <c r="AQ27" s="85">
        <v>43.02</v>
      </c>
      <c r="AR27" s="63">
        <f>(0.25-(AQ27/100))*AM27</f>
        <v>-4.0974566639962545E-2</v>
      </c>
      <c r="AS27" s="63">
        <f>AR27+((0.241-0.25)*AM27)</f>
        <v>-4.3021021133634374E-2</v>
      </c>
      <c r="AT27" s="62">
        <f>(AQ14)/(-0.015285035*6.58)</f>
        <v>1.933130699088146E-3</v>
      </c>
      <c r="AU27" s="62">
        <f>AR14-AT27</f>
        <v>9.1724436557118517E-3</v>
      </c>
    </row>
    <row r="28" spans="1:47" ht="15.75" customHeight="1">
      <c r="F28" s="1" t="s">
        <v>222</v>
      </c>
      <c r="G28" s="1">
        <f>(2/3)*(D29)*(((G27)^2+(G27)+1)/(G27+1))</f>
        <v>115.11111111111111</v>
      </c>
      <c r="J28" s="39">
        <v>0</v>
      </c>
      <c r="L28" s="40">
        <f>(D32*84)/(100)</f>
        <v>0</v>
      </c>
      <c r="N28" s="40">
        <f>(C6*84)/(100)</f>
        <v>0</v>
      </c>
      <c r="P28" s="50">
        <v>0</v>
      </c>
      <c r="R28" s="39">
        <f>J28/30</f>
        <v>0</v>
      </c>
      <c r="S28" s="86"/>
      <c r="T28" s="40">
        <f>L28/30</f>
        <v>0</v>
      </c>
      <c r="U28" s="86"/>
      <c r="V28" s="40">
        <f>N28/30</f>
        <v>0</v>
      </c>
      <c r="W28" s="86"/>
      <c r="X28" s="50">
        <f>P28/30</f>
        <v>0</v>
      </c>
      <c r="AL28" s="83">
        <f>AR15+AT15</f>
        <v>8.2579795856563415E-2</v>
      </c>
      <c r="AM28" s="84">
        <f>AU15+AL28</f>
        <v>0.48175571003862117</v>
      </c>
      <c r="AN28" s="63">
        <f>AL15*AT15</f>
        <v>2.5662999374945369E-2</v>
      </c>
      <c r="AO28" s="63">
        <f>AR15*AS15</f>
        <v>1.8384343534107308E-2</v>
      </c>
      <c r="AP28" s="62">
        <f>AO28-AN28</f>
        <v>-7.2786558408380608E-3</v>
      </c>
      <c r="AQ28" s="85">
        <v>33.65</v>
      </c>
      <c r="AR28" s="63">
        <f>(0.25-(AQ28/100))*AM28</f>
        <v>-4.1671868918340717E-2</v>
      </c>
      <c r="AS28" s="63">
        <f>AR28+((0.241-0.25)*AM28)</f>
        <v>-4.6007670308688312E-2</v>
      </c>
      <c r="AT28" s="62">
        <f>(AQ15)/(-0.015285035*6.58)</f>
        <v>7.7325227963525841E-3</v>
      </c>
      <c r="AU28" s="62">
        <f>AR15-AT28</f>
        <v>1.0689774622847415E-2</v>
      </c>
    </row>
    <row r="29" spans="1:47" ht="15.75" customHeight="1">
      <c r="C29" s="87" t="s">
        <v>223</v>
      </c>
      <c r="D29" s="45">
        <v>148</v>
      </c>
      <c r="J29" s="48">
        <f>(B7*84)/(100)</f>
        <v>2.2763999999999998</v>
      </c>
      <c r="L29" s="49">
        <f>(D7*84)/(100)</f>
        <v>-1.7303999999999999</v>
      </c>
      <c r="N29" s="49">
        <f>(C7*84)/(100)</f>
        <v>1.05</v>
      </c>
      <c r="P29" s="50">
        <f>(J29+L29)/2</f>
        <v>0.27299999999999991</v>
      </c>
      <c r="R29" s="48">
        <f>J29/30</f>
        <v>7.5879999999999989E-2</v>
      </c>
      <c r="S29" s="86"/>
      <c r="T29" s="49">
        <f>L29/30</f>
        <v>-5.7679999999999995E-2</v>
      </c>
      <c r="U29" s="86"/>
      <c r="V29" s="49">
        <f>N29/30</f>
        <v>3.5000000000000003E-2</v>
      </c>
      <c r="W29" s="86"/>
      <c r="X29" s="50">
        <f>P29/30</f>
        <v>9.099999999999997E-3</v>
      </c>
      <c r="AL29" s="83">
        <f>AR16+AT16</f>
        <v>0.13717023960711799</v>
      </c>
      <c r="AM29" s="84">
        <f>AU16+AL29</f>
        <v>0.7336464167420127</v>
      </c>
      <c r="AN29" s="63">
        <f>AL16*AT16</f>
        <v>6.4932042248350794E-2</v>
      </c>
      <c r="AO29" s="63">
        <f>AR16*AS16</f>
        <v>2.8780143746280563E-2</v>
      </c>
      <c r="AP29" s="62">
        <f>AO29-AN29</f>
        <v>-3.6151898502070234E-2</v>
      </c>
      <c r="AQ29" s="85">
        <v>31.2</v>
      </c>
      <c r="AR29" s="63">
        <f>(0.25-(AQ29/100))*AM29</f>
        <v>-4.548607783800479E-2</v>
      </c>
      <c r="AS29" s="63">
        <f>AR29+((0.241-0.25)*AM29)</f>
        <v>-5.2088895588682911E-2</v>
      </c>
      <c r="AT29" s="62">
        <f>(AQ16)/(-0.015285035*6.58)</f>
        <v>1.7398176291793313E-2</v>
      </c>
      <c r="AU29" s="62">
        <f>AR16-AT29</f>
        <v>1.1551992901406689E-2</v>
      </c>
    </row>
    <row r="30" spans="1:47" ht="15.75" customHeight="1">
      <c r="C30" s="87" t="s">
        <v>224</v>
      </c>
      <c r="D30" s="88">
        <v>74</v>
      </c>
      <c r="E30" s="89" t="s">
        <v>225</v>
      </c>
      <c r="J30" s="39">
        <f>(B8*84)/(100)</f>
        <v>3.1164000000000001</v>
      </c>
      <c r="L30" s="40">
        <f>(D8*84)/(100)</f>
        <v>-2.4023999999999996</v>
      </c>
      <c r="N30" s="40">
        <f>(C8*84)/(100)</f>
        <v>2.1</v>
      </c>
      <c r="P30" s="50">
        <f>(J30+L30)/2</f>
        <v>0.35700000000000021</v>
      </c>
      <c r="R30" s="39">
        <f>J30/30</f>
        <v>0.10388</v>
      </c>
      <c r="S30" s="86"/>
      <c r="T30" s="40">
        <f>L30/30</f>
        <v>-8.0079999999999985E-2</v>
      </c>
      <c r="U30" s="86"/>
      <c r="V30" s="40">
        <f>N30/30</f>
        <v>7.0000000000000007E-2</v>
      </c>
      <c r="W30" s="86"/>
      <c r="X30" s="50">
        <f>P30/30</f>
        <v>1.1900000000000006E-2</v>
      </c>
      <c r="AL30" s="83">
        <f>AR17+AT17</f>
        <v>0.19709508305953399</v>
      </c>
      <c r="AM30" s="84">
        <f>AU17+AL30</f>
        <v>0.98766291358601332</v>
      </c>
      <c r="AN30" s="63">
        <f>AL17*AT17</f>
        <v>0.12248471470618721</v>
      </c>
      <c r="AO30" s="63">
        <f>AR17*AS17</f>
        <v>4.3470547811756965E-2</v>
      </c>
      <c r="AP30" s="62">
        <f>AO30-AN30</f>
        <v>-7.9014166894430249E-2</v>
      </c>
      <c r="AQ30" s="85">
        <v>30.12</v>
      </c>
      <c r="AR30" s="63">
        <f>(0.25-(AQ30/100))*AM30</f>
        <v>-5.0568341175603902E-2</v>
      </c>
      <c r="AS30" s="63">
        <f>AR30+((0.241-0.25)*AM30)</f>
        <v>-5.945730739787803E-2</v>
      </c>
      <c r="AT30" s="62">
        <f>(AQ17)/(-0.015285035*6.58)</f>
        <v>3.0930091185410336E-2</v>
      </c>
      <c r="AU30" s="62">
        <f>AR17-AT30</f>
        <v>1.3059098491389667E-2</v>
      </c>
    </row>
    <row r="31" spans="1:47" ht="15.75" customHeight="1">
      <c r="J31" s="48">
        <f>(B9*84)/(100)</f>
        <v>4.2587999999999999</v>
      </c>
      <c r="L31" s="49">
        <f>(D9*84)/(100)</f>
        <v>-3.2256</v>
      </c>
      <c r="N31" s="49">
        <f>(C9*84)/(100)</f>
        <v>4.2</v>
      </c>
      <c r="P31" s="50">
        <f>(J31+L31)/2</f>
        <v>0.51659999999999995</v>
      </c>
      <c r="R31" s="48">
        <f>J31/30</f>
        <v>0.14196</v>
      </c>
      <c r="S31" s="86"/>
      <c r="T31" s="49">
        <f>L31/30</f>
        <v>-0.10752</v>
      </c>
      <c r="U31" s="86"/>
      <c r="V31" s="49">
        <f>N31/30</f>
        <v>0.14000000000000001</v>
      </c>
      <c r="W31" s="86"/>
      <c r="X31" s="50">
        <f>P31/30</f>
        <v>1.7219999999999999E-2</v>
      </c>
      <c r="AL31" s="83">
        <f>AR18+AT18</f>
        <v>0.2698016314772711</v>
      </c>
      <c r="AM31" s="84">
        <f>AU18+AL31</f>
        <v>1.2488428352661829</v>
      </c>
      <c r="AN31" s="63">
        <f>AL18*AT18</f>
        <v>0.20366227260727107</v>
      </c>
      <c r="AO31" s="63">
        <f>AR18*AS18</f>
        <v>6.4753157525911639E-2</v>
      </c>
      <c r="AP31" s="62">
        <f>AO31-AN31</f>
        <v>-0.13890911508135945</v>
      </c>
      <c r="AQ31" s="85">
        <v>29.26</v>
      </c>
      <c r="AR31" s="63">
        <f>(0.25-(AQ31/100))*AM31</f>
        <v>-5.3200704782339424E-2</v>
      </c>
      <c r="AS31" s="63">
        <f>AR31+((0.241-0.25)*AM31)</f>
        <v>-6.4440290299735081E-2</v>
      </c>
      <c r="AT31" s="62">
        <f>(AQ18)/(-0.015285035*6.58)</f>
        <v>4.8328267477203646E-2</v>
      </c>
      <c r="AU31" s="62">
        <f>AR18-AT31</f>
        <v>1.7811091392796352E-2</v>
      </c>
    </row>
    <row r="32" spans="1:47" ht="15.75" customHeight="1">
      <c r="J32" s="39">
        <f>(B10*84)/(100)</f>
        <v>5.0903999999999998</v>
      </c>
      <c r="L32" s="40">
        <f>(D10*84)/(100)</f>
        <v>-3.7547999999999995</v>
      </c>
      <c r="N32" s="40">
        <f>(C10*84)/(100)</f>
        <v>6.3</v>
      </c>
      <c r="P32" s="50">
        <f>(J32+L32)/2</f>
        <v>0.66780000000000017</v>
      </c>
      <c r="R32" s="39">
        <f>J32/30</f>
        <v>0.16968</v>
      </c>
      <c r="S32" s="86"/>
      <c r="T32" s="40">
        <f>L32/30</f>
        <v>-0.12515999999999999</v>
      </c>
      <c r="U32" s="86"/>
      <c r="V32" s="40">
        <f>N32/30</f>
        <v>0.21</v>
      </c>
      <c r="W32" s="86"/>
      <c r="X32" s="50">
        <f>P32/30</f>
        <v>2.2260000000000005E-2</v>
      </c>
      <c r="AL32" s="83">
        <f>AR19+AT19</f>
        <v>0.34188964779740411</v>
      </c>
      <c r="AM32" s="84">
        <f>AU19+AL32</f>
        <v>1.5040046218222254</v>
      </c>
      <c r="AN32" s="63">
        <f>AL19*AT19</f>
        <v>0.29914676522952488</v>
      </c>
      <c r="AO32" s="63">
        <f>AR19*AS19</f>
        <v>8.9677194235419463E-2</v>
      </c>
      <c r="AP32" s="62">
        <f>AO32-AN32</f>
        <v>-0.2094695709941054</v>
      </c>
      <c r="AQ32" s="85">
        <v>27.05</v>
      </c>
      <c r="AR32" s="63">
        <f>(0.25-(AQ32/100))*AM32</f>
        <v>-3.0832094747355647E-2</v>
      </c>
      <c r="AS32" s="63">
        <f>AR32+((0.241-0.25)*AM32)</f>
        <v>-4.4368136343755686E-2</v>
      </c>
      <c r="AT32" s="62">
        <f>(AQ19)/(-0.015285035*6.58)</f>
        <v>6.9592705167173252E-2</v>
      </c>
      <c r="AU32" s="62">
        <f>AR19-AT32</f>
        <v>2.3007971605626745E-2</v>
      </c>
    </row>
    <row r="33" spans="6:47" ht="15.75" customHeight="1">
      <c r="F33" s="1">
        <v>118.942528735632</v>
      </c>
      <c r="J33" s="48">
        <f>(B11*84)/(100)</f>
        <v>5.7372000000000005</v>
      </c>
      <c r="L33" s="49">
        <f>(D11*84)/(100)</f>
        <v>-4.1160000000000005</v>
      </c>
      <c r="N33" s="49">
        <f>(C11*84)/(100)</f>
        <v>8.4</v>
      </c>
      <c r="P33" s="50">
        <f>(J33+L33)/2</f>
        <v>0.81059999999999999</v>
      </c>
      <c r="R33" s="48">
        <f>J33/30</f>
        <v>0.19124000000000002</v>
      </c>
      <c r="S33" s="86"/>
      <c r="T33" s="49">
        <f>L33/30</f>
        <v>-0.13720000000000002</v>
      </c>
      <c r="U33" s="86"/>
      <c r="V33" s="49">
        <f>N33/30</f>
        <v>0.28000000000000003</v>
      </c>
      <c r="W33" s="86"/>
      <c r="X33" s="50">
        <f>P33/30</f>
        <v>2.7019999999999999E-2</v>
      </c>
      <c r="AL33" s="83">
        <f>AR20+AT20</f>
        <v>0.43136834532858381</v>
      </c>
      <c r="AM33" s="84">
        <f>AU20+AL33</f>
        <v>1.7652452810540922</v>
      </c>
      <c r="AN33" s="63">
        <f>AL20*AT20</f>
        <v>0.42517328272073729</v>
      </c>
      <c r="AO33" s="63">
        <f>AR20*AS20</f>
        <v>0.12164304376649575</v>
      </c>
      <c r="AP33" s="62">
        <f>AO33-AN33</f>
        <v>-0.30353023895424153</v>
      </c>
      <c r="AQ33" s="85">
        <v>26.58</v>
      </c>
      <c r="AR33" s="63">
        <f>(0.25-(AQ33/100))*AM33</f>
        <v>-2.7890875440654623E-2</v>
      </c>
      <c r="AS33" s="63">
        <f>AR33+((0.241-0.25)*AM33)</f>
        <v>-4.3778082970141463E-2</v>
      </c>
      <c r="AT33" s="62">
        <f>(AQ20)/(-0.015285035*6.58)</f>
        <v>9.4723404255319138E-2</v>
      </c>
      <c r="AU33" s="62">
        <f>AR20-AT33</f>
        <v>3.2949739129880862E-2</v>
      </c>
    </row>
    <row r="34" spans="6:47" ht="15.75" customHeight="1">
      <c r="J34" s="39">
        <f>(B12*84)/(100)</f>
        <v>6.6947999999999999</v>
      </c>
      <c r="L34" s="40">
        <f>(D12*84)/(100)</f>
        <v>-4.5527999999999995</v>
      </c>
      <c r="N34" s="40">
        <f>(C12*84)/(100)</f>
        <v>12.6</v>
      </c>
      <c r="P34" s="50">
        <f>(J34+L34)/2</f>
        <v>1.0710000000000002</v>
      </c>
      <c r="R34" s="39">
        <f>J34/30</f>
        <v>0.22316</v>
      </c>
      <c r="S34" s="86"/>
      <c r="T34" s="40">
        <f>L34/30</f>
        <v>-0.15175999999999998</v>
      </c>
      <c r="U34" s="86"/>
      <c r="V34" s="40">
        <f>N34/30</f>
        <v>0.42</v>
      </c>
      <c r="W34" s="86"/>
      <c r="X34" s="50">
        <f>P34/30</f>
        <v>3.5700000000000003E-2</v>
      </c>
      <c r="AL34" s="83">
        <f>AR21+AT21</f>
        <v>0.54429706347671025</v>
      </c>
      <c r="AM34" s="84">
        <f>AU21+AL34</f>
        <v>1.9774290575958995</v>
      </c>
      <c r="AN34" s="63">
        <f>AL21*AT21</f>
        <v>0.56367782237015207</v>
      </c>
      <c r="AO34" s="63">
        <f>AR21*AS21</f>
        <v>0.16590131716361978</v>
      </c>
      <c r="AP34" s="62">
        <f>AO34-AN34</f>
        <v>-0.39777650520653229</v>
      </c>
      <c r="AQ34" s="85">
        <v>26.61</v>
      </c>
      <c r="AR34" s="63">
        <f>(0.25-(AQ34/100))*AM34</f>
        <v>-3.1836607827293986E-2</v>
      </c>
      <c r="AS34" s="63">
        <f>AR34+((0.241-0.25)*AM34)</f>
        <v>-4.96334693456571E-2</v>
      </c>
      <c r="AT34" s="62">
        <f>(AQ21)/(-0.015285035*6.58)</f>
        <v>0.11461531914893616</v>
      </c>
      <c r="AU34" s="62">
        <f>AR21-AT34</f>
        <v>6.3657184347155837E-2</v>
      </c>
    </row>
    <row r="35" spans="6:47" ht="15" customHeight="1">
      <c r="J35" s="48">
        <f>(B13*84)/(100)</f>
        <v>7.3079999999999998</v>
      </c>
      <c r="L35" s="49">
        <f>(D13*84)/(100)</f>
        <v>-4.7544000000000004</v>
      </c>
      <c r="N35" s="49">
        <f>(C13*84)/(100)</f>
        <v>16.8</v>
      </c>
      <c r="P35" s="50">
        <f>(J35+L35)/2</f>
        <v>1.2767999999999997</v>
      </c>
      <c r="R35" s="48">
        <f>J35/30</f>
        <v>0.24359999999999998</v>
      </c>
      <c r="S35" s="86"/>
      <c r="T35" s="49">
        <f>L35/30</f>
        <v>-0.15848000000000001</v>
      </c>
      <c r="U35" s="86"/>
      <c r="V35" s="49">
        <f>N35/30</f>
        <v>0.56000000000000005</v>
      </c>
      <c r="W35" s="86"/>
      <c r="X35" s="50">
        <f>P35/30</f>
        <v>4.2559999999999994E-2</v>
      </c>
    </row>
    <row r="36" spans="6:47" ht="15" customHeight="1">
      <c r="J36" s="39">
        <f>(B14*84)/(100)</f>
        <v>7.7027999999999999</v>
      </c>
      <c r="L36" s="40">
        <f>(D14*84)/(100)</f>
        <v>-4.7880000000000003</v>
      </c>
      <c r="N36" s="40">
        <f>(C14*84)/(100)</f>
        <v>21</v>
      </c>
      <c r="P36" s="50">
        <f>(J36+L36)/2</f>
        <v>1.4573999999999998</v>
      </c>
      <c r="R36" s="39">
        <f>J36/30</f>
        <v>0.25675999999999999</v>
      </c>
      <c r="S36" s="86"/>
      <c r="T36" s="40">
        <f>L36/30</f>
        <v>-0.15960000000000002</v>
      </c>
      <c r="U36" s="86"/>
      <c r="V36" s="40">
        <f>N36/30</f>
        <v>0.7</v>
      </c>
      <c r="W36" s="86"/>
      <c r="X36" s="50">
        <f>P36/30</f>
        <v>4.8579999999999991E-2</v>
      </c>
    </row>
    <row r="37" spans="6:47" ht="15" customHeight="1">
      <c r="J37" s="48">
        <f>(B15*84)/(100)</f>
        <v>7.8792000000000009</v>
      </c>
      <c r="L37" s="49">
        <f>(D15*84)/(100)</f>
        <v>-4.7207999999999997</v>
      </c>
      <c r="N37" s="49">
        <f>(C15*84)/(100)</f>
        <v>25.2</v>
      </c>
      <c r="P37" s="50">
        <f>(J37+L37)/2</f>
        <v>1.5792000000000006</v>
      </c>
      <c r="R37" s="48">
        <f>J37/30</f>
        <v>0.26264000000000004</v>
      </c>
      <c r="S37" s="86"/>
      <c r="T37" s="49">
        <f>L37/30</f>
        <v>-0.15736</v>
      </c>
      <c r="U37" s="86"/>
      <c r="V37" s="49">
        <f>N37/30</f>
        <v>0.84</v>
      </c>
      <c r="W37" s="86"/>
      <c r="X37" s="50">
        <f>P37/30</f>
        <v>5.264000000000002E-2</v>
      </c>
    </row>
    <row r="38" spans="6:47" ht="15" customHeight="1">
      <c r="J38" s="39">
        <f>(B16*84)/(100)</f>
        <v>7.77</v>
      </c>
      <c r="L38" s="40">
        <f>(D16*84)/(100)</f>
        <v>-4.41</v>
      </c>
      <c r="N38" s="40">
        <f>(C16*84)/(100)</f>
        <v>33.6</v>
      </c>
      <c r="P38" s="50">
        <f>(J38+L38)/2</f>
        <v>1.6799999999999997</v>
      </c>
      <c r="R38" s="39">
        <f>J38/30</f>
        <v>0.25900000000000001</v>
      </c>
      <c r="S38" s="86"/>
      <c r="T38" s="40">
        <f>L38/30</f>
        <v>-0.14699999999999999</v>
      </c>
      <c r="U38" s="86"/>
      <c r="V38" s="40">
        <f>N38/30</f>
        <v>1.1200000000000001</v>
      </c>
      <c r="W38" s="86"/>
      <c r="X38" s="50">
        <f>P38/30</f>
        <v>5.5999999999999987E-2</v>
      </c>
    </row>
    <row r="39" spans="6:47" ht="15" customHeight="1">
      <c r="J39" s="48">
        <f>(B17*84)/(100)</f>
        <v>7.1988000000000003</v>
      </c>
      <c r="L39" s="49">
        <f>(D17*84)/(100)</f>
        <v>-3.9227999999999996</v>
      </c>
      <c r="N39" s="49">
        <f>(C17*84)/(100)</f>
        <v>42</v>
      </c>
      <c r="P39" s="50">
        <f>(J39+L39)/2</f>
        <v>1.6380000000000003</v>
      </c>
      <c r="R39" s="48">
        <f>J39/30</f>
        <v>0.23996000000000001</v>
      </c>
      <c r="S39" s="86"/>
      <c r="T39" s="49">
        <f>L39/30</f>
        <v>-0.13075999999999999</v>
      </c>
      <c r="U39" s="86"/>
      <c r="V39" s="49">
        <f>N39/30</f>
        <v>1.4</v>
      </c>
      <c r="W39" s="86"/>
      <c r="X39" s="50">
        <f>P39/30</f>
        <v>5.460000000000001E-2</v>
      </c>
    </row>
    <row r="40" spans="6:47" ht="15" customHeight="1">
      <c r="J40" s="39">
        <f>(B18*84)/(100)</f>
        <v>6.3</v>
      </c>
      <c r="L40" s="40">
        <f>(D18*84)/(100)</f>
        <v>-3.2759999999999998</v>
      </c>
      <c r="N40" s="40">
        <f>(C18*84)/(100)</f>
        <v>50.4</v>
      </c>
      <c r="P40" s="50">
        <f>(J40+L40)/2</f>
        <v>1.512</v>
      </c>
      <c r="R40" s="39">
        <f>J40/30</f>
        <v>0.21</v>
      </c>
      <c r="S40" s="86"/>
      <c r="T40" s="40">
        <f>L40/30</f>
        <v>-0.10919999999999999</v>
      </c>
      <c r="U40" s="86"/>
      <c r="V40" s="40">
        <f>N40/30</f>
        <v>1.68</v>
      </c>
      <c r="W40" s="86"/>
      <c r="X40" s="50">
        <f>P40/30</f>
        <v>5.04E-2</v>
      </c>
    </row>
    <row r="41" spans="6:47" ht="15" customHeight="1">
      <c r="J41" s="48">
        <f>(B19*84)/(100)</f>
        <v>5.1239999999999997</v>
      </c>
      <c r="L41" s="49">
        <f>(D19*84)/(100)</f>
        <v>-2.5619999999999998</v>
      </c>
      <c r="N41" s="49">
        <f>(C19*84)/(100)</f>
        <v>58.8</v>
      </c>
      <c r="P41" s="50">
        <f>(J41+L41)/2</f>
        <v>1.2809999999999999</v>
      </c>
      <c r="R41" s="48">
        <f>J41/30</f>
        <v>0.17079999999999998</v>
      </c>
      <c r="S41" s="86"/>
      <c r="T41" s="49">
        <f>L41/30</f>
        <v>-8.539999999999999E-2</v>
      </c>
      <c r="U41" s="86"/>
      <c r="V41" s="49">
        <f>N41/30</f>
        <v>1.96</v>
      </c>
      <c r="W41" s="86"/>
      <c r="X41" s="50">
        <f>P41/30</f>
        <v>4.2699999999999995E-2</v>
      </c>
    </row>
    <row r="42" spans="6:47" ht="15" customHeight="1">
      <c r="J42" s="39">
        <f>(B20*84)/(100)</f>
        <v>3.7044000000000001</v>
      </c>
      <c r="L42" s="40">
        <f>(D20*84)/(100)</f>
        <v>-1.806</v>
      </c>
      <c r="N42" s="40">
        <f>(C20*84)/(100)</f>
        <v>67.2</v>
      </c>
      <c r="P42" s="50">
        <f>(J42+L42)/2</f>
        <v>0.94920000000000004</v>
      </c>
      <c r="R42" s="39">
        <f>J42/30</f>
        <v>0.12348000000000001</v>
      </c>
      <c r="S42" s="86"/>
      <c r="T42" s="40">
        <f>L42/30</f>
        <v>-6.0200000000000004E-2</v>
      </c>
      <c r="U42" s="86"/>
      <c r="V42" s="40">
        <f>N42/30</f>
        <v>2.2400000000000002</v>
      </c>
      <c r="W42" s="86"/>
      <c r="X42" s="50">
        <f>P42/30</f>
        <v>3.1640000000000001E-2</v>
      </c>
    </row>
    <row r="43" spans="6:47" ht="15" customHeight="1">
      <c r="J43" s="48">
        <f>(B21*84)/(100)</f>
        <v>2.0580000000000003</v>
      </c>
      <c r="L43" s="49">
        <f>(D21*84)/(100)</f>
        <v>-0.98280000000000001</v>
      </c>
      <c r="N43" s="49">
        <f>(C21*84)/(100)</f>
        <v>75.599999999999994</v>
      </c>
      <c r="P43" s="50">
        <f>(J43+L43)/2</f>
        <v>0.53760000000000008</v>
      </c>
      <c r="R43" s="48">
        <f>J43/30</f>
        <v>6.8600000000000008E-2</v>
      </c>
      <c r="S43" s="86"/>
      <c r="T43" s="49">
        <f>L43/30</f>
        <v>-3.2759999999999997E-2</v>
      </c>
      <c r="U43" s="86"/>
      <c r="V43" s="49">
        <f>N43/30</f>
        <v>2.52</v>
      </c>
      <c r="W43" s="86"/>
      <c r="X43" s="50">
        <f>P43/30</f>
        <v>1.7920000000000002E-2</v>
      </c>
    </row>
    <row r="44" spans="6:47" ht="15" customHeight="1">
      <c r="J44" s="39">
        <f>(B22*84)/(100)</f>
        <v>1.1255999999999999</v>
      </c>
      <c r="L44" s="40">
        <f>(D22*84)/(100)</f>
        <v>-0.57120000000000004</v>
      </c>
      <c r="N44" s="40">
        <f>(C22*84)/(100)</f>
        <v>79.8</v>
      </c>
      <c r="P44" s="50">
        <f>(J44+L44)/2</f>
        <v>0.27719999999999995</v>
      </c>
      <c r="R44" s="39">
        <f>J44/30</f>
        <v>3.7519999999999998E-2</v>
      </c>
      <c r="S44" s="86"/>
      <c r="T44" s="40">
        <f>L44/30</f>
        <v>-1.9040000000000001E-2</v>
      </c>
      <c r="U44" s="86"/>
      <c r="V44" s="40">
        <f>N44/30</f>
        <v>2.6599999999999997</v>
      </c>
      <c r="W44" s="86"/>
      <c r="X44" s="50">
        <f>P44/30</f>
        <v>9.2399999999999982E-3</v>
      </c>
    </row>
    <row r="45" spans="6:47" ht="15" customHeight="1">
      <c r="J45" s="72">
        <f>(B23*84)/(100)</f>
        <v>0.13439999999999999</v>
      </c>
      <c r="K45" s="73"/>
      <c r="L45" s="74">
        <f>(D23*84)/(100)</f>
        <v>-0.13439999999999999</v>
      </c>
      <c r="M45" s="73"/>
      <c r="N45" s="74">
        <f>(C23*84)/(100)</f>
        <v>84</v>
      </c>
      <c r="O45" s="73"/>
      <c r="P45" s="90">
        <f>(J45+L45)/2</f>
        <v>0</v>
      </c>
      <c r="R45" s="72">
        <f>J45/30</f>
        <v>4.4799999999999996E-3</v>
      </c>
      <c r="S45" s="91"/>
      <c r="T45" s="74">
        <f>L45/30</f>
        <v>-4.4799999999999996E-3</v>
      </c>
      <c r="U45" s="91"/>
      <c r="V45" s="74">
        <f>N45/30</f>
        <v>2.8</v>
      </c>
      <c r="W45" s="91"/>
      <c r="X45" s="50">
        <f>P45/30</f>
        <v>0</v>
      </c>
    </row>
    <row r="48" spans="6:47" ht="23.25" customHeight="1">
      <c r="J48" s="441" t="s">
        <v>226</v>
      </c>
      <c r="K48" s="441"/>
      <c r="L48" s="441"/>
      <c r="M48" s="441"/>
      <c r="N48" s="441"/>
      <c r="O48" s="441"/>
      <c r="P48" s="441"/>
      <c r="R48" s="441" t="s">
        <v>227</v>
      </c>
      <c r="S48" s="441"/>
      <c r="T48" s="441"/>
      <c r="U48" s="441"/>
      <c r="V48" s="441"/>
      <c r="W48" s="441"/>
      <c r="X48" s="441"/>
    </row>
    <row r="49" spans="10:24" ht="15" customHeight="1">
      <c r="J49" s="31" t="s">
        <v>181</v>
      </c>
      <c r="L49" s="1" t="s">
        <v>182</v>
      </c>
      <c r="N49" s="1" t="s">
        <v>183</v>
      </c>
      <c r="P49" s="32" t="s">
        <v>184</v>
      </c>
      <c r="R49" s="31" t="s">
        <v>181</v>
      </c>
      <c r="T49" s="1" t="s">
        <v>182</v>
      </c>
      <c r="V49" s="1" t="s">
        <v>183</v>
      </c>
      <c r="X49" s="32" t="s">
        <v>184</v>
      </c>
    </row>
    <row r="50" spans="10:24" ht="15" customHeight="1">
      <c r="J50" s="31"/>
      <c r="P50" s="32"/>
      <c r="R50" s="31"/>
      <c r="X50" s="32"/>
    </row>
    <row r="51" spans="10:24" ht="15" customHeight="1">
      <c r="J51" s="39">
        <v>0</v>
      </c>
      <c r="L51" s="40">
        <f>(D6*118.9425287)/(100)</f>
        <v>0</v>
      </c>
      <c r="N51" s="40">
        <f>(C6*118.9425287)/(100)</f>
        <v>0</v>
      </c>
      <c r="P51" s="50">
        <v>0</v>
      </c>
      <c r="R51" s="39">
        <f>J51/30</f>
        <v>0</v>
      </c>
      <c r="T51" s="40">
        <f>L51/30</f>
        <v>0</v>
      </c>
      <c r="V51" s="40">
        <f>N51/30</f>
        <v>0</v>
      </c>
      <c r="X51" s="50">
        <f>P51/30</f>
        <v>0</v>
      </c>
    </row>
    <row r="52" spans="10:24" ht="15" customHeight="1">
      <c r="J52" s="48">
        <f>(B7*118.9425287)/(100)</f>
        <v>3.2233425277699994</v>
      </c>
      <c r="L52" s="49">
        <f>(D7*118.9425287)/(100)</f>
        <v>-2.4502160912200002</v>
      </c>
      <c r="N52" s="49">
        <f>(C7*118.9425287)/(100)</f>
        <v>1.4867816087500001</v>
      </c>
      <c r="P52" s="50">
        <f>((J52+L52)/2)</f>
        <v>0.38656321827499962</v>
      </c>
      <c r="R52" s="48">
        <f>J52/30</f>
        <v>0.10744475092566665</v>
      </c>
      <c r="T52" s="49">
        <f>L52/30</f>
        <v>-8.1673869707333341E-2</v>
      </c>
      <c r="V52" s="49">
        <f>N52/30</f>
        <v>4.9559386958333333E-2</v>
      </c>
      <c r="X52" s="50">
        <f>P52/30</f>
        <v>1.2885440609166654E-2</v>
      </c>
    </row>
    <row r="53" spans="10:24" ht="15" customHeight="1">
      <c r="J53" s="39">
        <f>(B8*118.9425287)/(100)</f>
        <v>4.4127678147699996</v>
      </c>
      <c r="L53" s="40">
        <f>(D8*118.9425287)/(100)</f>
        <v>-3.4017563208200001</v>
      </c>
      <c r="N53" s="40">
        <f>(C8*118.9425287)/(100)</f>
        <v>2.9735632175000002</v>
      </c>
      <c r="P53" s="50">
        <f>(J53+L53)/2</f>
        <v>0.50550574697499973</v>
      </c>
      <c r="R53" s="39">
        <f>J53/30</f>
        <v>0.14709226049233332</v>
      </c>
      <c r="T53" s="40">
        <f>L53/30</f>
        <v>-0.11339187736066667</v>
      </c>
      <c r="V53" s="40">
        <f>N53/30</f>
        <v>9.9118773916666666E-2</v>
      </c>
      <c r="X53" s="50">
        <f>P53/30</f>
        <v>1.6850191565833325E-2</v>
      </c>
    </row>
    <row r="54" spans="10:24" ht="15" customHeight="1">
      <c r="J54" s="48">
        <f>(B9*118.9425287)/(100)</f>
        <v>6.0303862050900001</v>
      </c>
      <c r="L54" s="49">
        <f>(D9*118.9425287)/(100)</f>
        <v>-4.5673931020799996</v>
      </c>
      <c r="N54" s="49">
        <f>(C9*118.9425287)/(100)</f>
        <v>5.9471264350000004</v>
      </c>
      <c r="P54" s="50">
        <f>(J54+L54)/2</f>
        <v>0.73149655150500026</v>
      </c>
      <c r="R54" s="48">
        <f>J54/30</f>
        <v>0.20101287350300001</v>
      </c>
      <c r="T54" s="49">
        <f>L54/30</f>
        <v>-0.152246436736</v>
      </c>
      <c r="V54" s="49">
        <f>N54/30</f>
        <v>0.19823754783333333</v>
      </c>
      <c r="X54" s="50">
        <f>P54/30</f>
        <v>2.4383218383500008E-2</v>
      </c>
    </row>
    <row r="55" spans="10:24" ht="15" customHeight="1">
      <c r="J55" s="39">
        <f>(B10*118.9425287)/(100)</f>
        <v>7.2079172392199995</v>
      </c>
      <c r="L55" s="40">
        <f>(D10*118.9425287)/(100)</f>
        <v>-5.3167310328899999</v>
      </c>
      <c r="N55" s="40">
        <f>(C10*118.9425287)/(100)</f>
        <v>8.9206896525000001</v>
      </c>
      <c r="P55" s="50">
        <f>(J55+L55)/2</f>
        <v>0.94559310316499978</v>
      </c>
      <c r="R55" s="39">
        <f>J55/30</f>
        <v>0.24026390797399999</v>
      </c>
      <c r="T55" s="40">
        <f>L55/30</f>
        <v>-0.17722436776299999</v>
      </c>
      <c r="V55" s="40">
        <f>N55/30</f>
        <v>0.29735632174999999</v>
      </c>
      <c r="X55" s="50">
        <f>P55/30</f>
        <v>3.1519770105499993E-2</v>
      </c>
    </row>
    <row r="56" spans="10:24" ht="15" customHeight="1">
      <c r="J56" s="48">
        <f>(B11*118.9425287)/(100)</f>
        <v>8.1237747102100002</v>
      </c>
      <c r="L56" s="49">
        <f>(D11*118.9425287)/(100)</f>
        <v>-5.8281839063000005</v>
      </c>
      <c r="N56" s="49">
        <f>(C11*118.9425287)/(100)</f>
        <v>11.894252870000001</v>
      </c>
      <c r="P56" s="50">
        <f>(J56+L56)/2</f>
        <v>1.1477954019549998</v>
      </c>
      <c r="R56" s="48">
        <f>J56/30</f>
        <v>0.27079249034033331</v>
      </c>
      <c r="T56" s="49">
        <f>L56/30</f>
        <v>-0.19427279687666668</v>
      </c>
      <c r="V56" s="49">
        <f>N56/30</f>
        <v>0.39647509566666667</v>
      </c>
      <c r="X56" s="50">
        <f>P56/30</f>
        <v>3.825984673183333E-2</v>
      </c>
    </row>
    <row r="57" spans="10:24" ht="15" customHeight="1">
      <c r="J57" s="39">
        <f>(B12*118.9425287)/(100)</f>
        <v>9.4797195373899985</v>
      </c>
      <c r="L57" s="40">
        <f>(D12*118.9425287)/(100)</f>
        <v>-6.4466850555399988</v>
      </c>
      <c r="N57" s="40">
        <f>(C12*118.9425287)/(100)</f>
        <v>17.841379305</v>
      </c>
      <c r="P57" s="50">
        <f>(J57+L57)/2</f>
        <v>1.5165172409249998</v>
      </c>
      <c r="R57" s="39">
        <f>J57/30</f>
        <v>0.3159906512463333</v>
      </c>
      <c r="T57" s="40">
        <f>L57/30</f>
        <v>-0.21488950185133329</v>
      </c>
      <c r="V57" s="40">
        <f>N57/30</f>
        <v>0.59471264349999997</v>
      </c>
      <c r="X57" s="50">
        <f>P57/30</f>
        <v>5.0550574697499996E-2</v>
      </c>
    </row>
    <row r="58" spans="10:24" ht="15" customHeight="1">
      <c r="J58" s="48">
        <f>(B13*118.9425287)/(100)</f>
        <v>10.347999996899999</v>
      </c>
      <c r="L58" s="49">
        <f>(D13*118.9425287)/(100)</f>
        <v>-6.7321471244199991</v>
      </c>
      <c r="N58" s="49">
        <f>(C13*118.9425287)/(100)</f>
        <v>23.788505740000002</v>
      </c>
      <c r="P58" s="50">
        <f>(J58+L58)/2</f>
        <v>1.8079264362399998</v>
      </c>
      <c r="R58" s="48">
        <f>J58/30</f>
        <v>0.34493333322999997</v>
      </c>
      <c r="T58" s="49">
        <f>L58/30</f>
        <v>-0.2244049041473333</v>
      </c>
      <c r="V58" s="49">
        <f>N58/30</f>
        <v>0.79295019133333333</v>
      </c>
      <c r="X58" s="50">
        <f>P58/30</f>
        <v>6.0264214541333329E-2</v>
      </c>
    </row>
    <row r="59" spans="10:24" ht="15" customHeight="1">
      <c r="J59" s="39">
        <f>(B14*118.9425287)/(100)</f>
        <v>10.907029881789999</v>
      </c>
      <c r="L59" s="40">
        <f>(D14*118.9425287)/(100)</f>
        <v>-6.7797241358999996</v>
      </c>
      <c r="N59" s="40">
        <f>(C14*118.9425287)/(100)</f>
        <v>29.735632174999999</v>
      </c>
      <c r="P59" s="50">
        <f>(J59+L59)/2</f>
        <v>2.0636528729449997</v>
      </c>
      <c r="R59" s="39">
        <f>J59/30</f>
        <v>0.36356766272633328</v>
      </c>
      <c r="T59" s="40">
        <f>L59/30</f>
        <v>-0.22599080452999998</v>
      </c>
      <c r="V59" s="40">
        <f>N59/30</f>
        <v>0.99118773916666669</v>
      </c>
      <c r="X59" s="50">
        <f>P59/30</f>
        <v>6.8788429098166654E-2</v>
      </c>
    </row>
    <row r="60" spans="10:24" ht="15" customHeight="1">
      <c r="J60" s="48">
        <f>(B15*118.9425287)/(100)</f>
        <v>11.156809192060001</v>
      </c>
      <c r="L60" s="49">
        <f>(D15*118.9425287)/(100)</f>
        <v>-6.6845701129400004</v>
      </c>
      <c r="N60" s="49">
        <f>(C15*118.9425287)/(100)</f>
        <v>35.68275861</v>
      </c>
      <c r="P60" s="50">
        <f>(J60+L60)/2</f>
        <v>2.2361195395600002</v>
      </c>
      <c r="R60" s="48">
        <f>J60/30</f>
        <v>0.37189363973533335</v>
      </c>
      <c r="T60" s="49">
        <f>L60/30</f>
        <v>-0.22281900376466668</v>
      </c>
      <c r="V60" s="49">
        <f>N60/30</f>
        <v>1.1894252869999999</v>
      </c>
      <c r="X60" s="50">
        <f>P60/30</f>
        <v>7.4537317985333335E-2</v>
      </c>
    </row>
    <row r="61" spans="10:24" ht="15" customHeight="1">
      <c r="J61" s="39">
        <f>(B16*118.9425287)/(100)</f>
        <v>11.00218390475</v>
      </c>
      <c r="L61" s="40">
        <f>(D16*118.9425287)/(100)</f>
        <v>-6.2444827567500001</v>
      </c>
      <c r="N61" s="40">
        <f>(C16*118.9425287)/(100)</f>
        <v>47.577011480000003</v>
      </c>
      <c r="P61" s="50">
        <f>(J61+L61)/2</f>
        <v>2.3788505739999999</v>
      </c>
      <c r="R61" s="39">
        <f>J61/30</f>
        <v>0.36673946349166664</v>
      </c>
      <c r="T61" s="40">
        <f>L61/30</f>
        <v>-0.20814942522499999</v>
      </c>
      <c r="V61" s="40">
        <f>N61/30</f>
        <v>1.5859003826666667</v>
      </c>
      <c r="X61" s="50">
        <f>P61/30</f>
        <v>7.9295019133333325E-2</v>
      </c>
    </row>
    <row r="62" spans="10:24" ht="15" customHeight="1">
      <c r="J62" s="48">
        <f>(B17*118.9425287)/(100)</f>
        <v>10.19337470959</v>
      </c>
      <c r="L62" s="49">
        <f>(D17*118.9425287)/(100)</f>
        <v>-5.5546160902899997</v>
      </c>
      <c r="N62" s="49">
        <f>(C17*118.9425287)/(100)</f>
        <v>59.471264349999998</v>
      </c>
      <c r="P62" s="50">
        <f>(J62+L62)/2</f>
        <v>2.3193793096499999</v>
      </c>
      <c r="R62" s="48">
        <f>J62/30</f>
        <v>0.33977915698633332</v>
      </c>
      <c r="T62" s="49">
        <f>L62/30</f>
        <v>-0.18515386967633332</v>
      </c>
      <c r="V62" s="49">
        <f>N62/30</f>
        <v>1.9823754783333334</v>
      </c>
      <c r="X62" s="50">
        <f>P62/30</f>
        <v>7.7312643654999999E-2</v>
      </c>
    </row>
    <row r="63" spans="10:24" ht="15" customHeight="1">
      <c r="J63" s="39">
        <f>(B18*118.9425287)/(100)</f>
        <v>8.9206896525000001</v>
      </c>
      <c r="L63" s="40">
        <f>(D18*118.9425287)/(100)</f>
        <v>-4.6387586192999999</v>
      </c>
      <c r="N63" s="40">
        <f>(C18*118.9425287)/(100)</f>
        <v>71.365517220000001</v>
      </c>
      <c r="P63" s="50">
        <f>(J63+L63)/2</f>
        <v>2.1409655166000001</v>
      </c>
      <c r="R63" s="39">
        <f>J63/30</f>
        <v>0.29735632174999999</v>
      </c>
      <c r="T63" s="40">
        <f>L63/30</f>
        <v>-0.15462528731</v>
      </c>
      <c r="V63" s="40">
        <f>N63/30</f>
        <v>2.3788505739999999</v>
      </c>
      <c r="X63" s="50">
        <f>P63/30</f>
        <v>7.1365517220000008E-2</v>
      </c>
    </row>
    <row r="64" spans="10:24" ht="15" customHeight="1">
      <c r="J64" s="48">
        <f>(B19*118.9425287)/(100)</f>
        <v>7.2554942507</v>
      </c>
      <c r="L64" s="49">
        <f>(D19*118.9425287)/(100)</f>
        <v>-3.62774712535</v>
      </c>
      <c r="N64" s="49">
        <f>(C19*118.9425287)/(100)</f>
        <v>83.259770090000004</v>
      </c>
      <c r="P64" s="50">
        <f>(J64+L64)/2</f>
        <v>1.813873562675</v>
      </c>
      <c r="R64" s="48">
        <f>J64/30</f>
        <v>0.24184980835666667</v>
      </c>
      <c r="T64" s="49">
        <f>L64/30</f>
        <v>-0.12092490417833333</v>
      </c>
      <c r="V64" s="49">
        <f>N64/30</f>
        <v>2.7753256696666666</v>
      </c>
      <c r="X64" s="50">
        <f>P64/30</f>
        <v>6.0462452089166667E-2</v>
      </c>
    </row>
    <row r="65" spans="10:24" ht="15" customHeight="1">
      <c r="J65" s="39">
        <f>(B20*118.9425287)/(100)</f>
        <v>5.2453655156699996</v>
      </c>
      <c r="L65" s="40">
        <f>(D20*118.9425287)/(100)</f>
        <v>-2.5572643670499997</v>
      </c>
      <c r="N65" s="40">
        <f>(C20*118.9425287)/(100)</f>
        <v>95.154022960000006</v>
      </c>
      <c r="P65" s="50">
        <f>(J65+L65)/2</f>
        <v>1.34405057431</v>
      </c>
      <c r="R65" s="39">
        <f>J65/30</f>
        <v>0.17484551718899999</v>
      </c>
      <c r="T65" s="40">
        <f>L65/30</f>
        <v>-8.524214556833333E-2</v>
      </c>
      <c r="V65" s="40">
        <f>N65/30</f>
        <v>3.1718007653333333</v>
      </c>
      <c r="X65" s="50">
        <f>P65/30</f>
        <v>4.4801685810333329E-2</v>
      </c>
    </row>
    <row r="66" spans="10:24" ht="15" customHeight="1">
      <c r="J66" s="48">
        <f>(B21*118.9425287)/(100)</f>
        <v>2.9140919531500002</v>
      </c>
      <c r="L66" s="49">
        <f>(D21*118.9425287)/(100)</f>
        <v>-1.3916275857899998</v>
      </c>
      <c r="N66" s="49">
        <f>(C21*118.9425287)/(100)</f>
        <v>107.04827583000001</v>
      </c>
      <c r="P66" s="50">
        <f>(J66+L66)/2</f>
        <v>0.76123218368000023</v>
      </c>
      <c r="R66" s="48">
        <f>J66/30</f>
        <v>9.7136398438333341E-2</v>
      </c>
      <c r="T66" s="49">
        <f>L66/30</f>
        <v>-4.6387586192999992E-2</v>
      </c>
      <c r="V66" s="49">
        <f>N66/30</f>
        <v>3.5682758610000005</v>
      </c>
      <c r="X66" s="50">
        <f>P66/30</f>
        <v>2.5374406122666674E-2</v>
      </c>
    </row>
    <row r="67" spans="10:24" ht="15" customHeight="1">
      <c r="J67" s="39">
        <f>(B22*118.9425287)/(100)</f>
        <v>1.5938298845800001</v>
      </c>
      <c r="L67" s="40">
        <f>(D22*118.9425287)/(100)</f>
        <v>-0.80880919516000005</v>
      </c>
      <c r="N67" s="40">
        <f>(C22*118.9425287)/(100)</f>
        <v>112.995402265</v>
      </c>
      <c r="P67" s="50">
        <f>(J67+L67)/2</f>
        <v>0.39251034471000001</v>
      </c>
      <c r="R67" s="39">
        <f>J67/30</f>
        <v>5.3127662819333336E-2</v>
      </c>
      <c r="T67" s="40">
        <f>L67/30</f>
        <v>-2.6960306505333334E-2</v>
      </c>
      <c r="V67" s="40">
        <f>N67/30</f>
        <v>3.7665134088333332</v>
      </c>
      <c r="X67" s="50">
        <f>P67/30</f>
        <v>1.3083678157000001E-2</v>
      </c>
    </row>
    <row r="68" spans="10:24" ht="15" customHeight="1">
      <c r="J68" s="72">
        <f>(B23*118.9425287)/(100)</f>
        <v>0.19030804592</v>
      </c>
      <c r="K68" s="73"/>
      <c r="L68" s="74">
        <f>(D23*118.9425287)/(100)</f>
        <v>-0.19030804592</v>
      </c>
      <c r="M68" s="73"/>
      <c r="N68" s="74">
        <f>(C23*118.9425287)/(100)</f>
        <v>118.9425287</v>
      </c>
      <c r="O68" s="73"/>
      <c r="P68" s="90">
        <f>(J68+L68)/2</f>
        <v>0</v>
      </c>
      <c r="R68" s="72">
        <f>J68/30</f>
        <v>6.3436015306666668E-3</v>
      </c>
      <c r="S68" s="73"/>
      <c r="T68" s="74">
        <f>L68/30</f>
        <v>-6.3436015306666668E-3</v>
      </c>
      <c r="U68" s="73"/>
      <c r="V68" s="74">
        <f>N68/30</f>
        <v>3.9647509566666668</v>
      </c>
      <c r="W68" s="73"/>
      <c r="X68" s="50">
        <f>P68/30</f>
        <v>0</v>
      </c>
    </row>
    <row r="77" spans="10:24" ht="15.75" customHeight="1"/>
    <row r="78" spans="10:24" ht="15.75" customHeight="1">
      <c r="O78" s="92">
        <v>0</v>
      </c>
      <c r="P78" s="93" t="s">
        <v>190</v>
      </c>
      <c r="Q78" s="93">
        <v>0</v>
      </c>
      <c r="R78" s="94">
        <v>0</v>
      </c>
    </row>
    <row r="79" spans="10:24" ht="16.5" customHeight="1">
      <c r="O79" s="95">
        <v>1.25</v>
      </c>
      <c r="P79" s="96">
        <v>1.8939999999999999</v>
      </c>
      <c r="Q79" s="97">
        <v>1.25</v>
      </c>
      <c r="R79" s="98">
        <v>-1.8939999999999999</v>
      </c>
    </row>
    <row r="80" spans="10:24" ht="16.5" customHeight="1">
      <c r="O80" s="95">
        <v>2.5</v>
      </c>
      <c r="P80" s="96">
        <v>2.6150000000000002</v>
      </c>
      <c r="Q80" s="97">
        <v>2.5</v>
      </c>
      <c r="R80" s="98">
        <v>-2.6150000000000002</v>
      </c>
    </row>
    <row r="81" spans="15:18" ht="16.5" customHeight="1">
      <c r="O81" s="95">
        <v>5</v>
      </c>
      <c r="P81" s="96">
        <v>3.5550000000000002</v>
      </c>
      <c r="Q81" s="97">
        <v>5</v>
      </c>
      <c r="R81" s="98">
        <v>-3.5550000000000002</v>
      </c>
    </row>
    <row r="82" spans="15:18" ht="16.5" customHeight="1">
      <c r="O82" s="95">
        <v>7.5</v>
      </c>
      <c r="P82" s="96">
        <v>4.2</v>
      </c>
      <c r="Q82" s="97">
        <v>7.5</v>
      </c>
      <c r="R82" s="98">
        <v>-4.2</v>
      </c>
    </row>
    <row r="83" spans="15:18" ht="16.5" customHeight="1">
      <c r="O83" s="95">
        <v>10</v>
      </c>
      <c r="P83" s="96">
        <v>4.6829999999999998</v>
      </c>
      <c r="Q83" s="97">
        <v>10</v>
      </c>
      <c r="R83" s="98">
        <v>-4.6829999999999998</v>
      </c>
    </row>
    <row r="84" spans="15:18" ht="16.5" customHeight="1">
      <c r="O84" s="95">
        <v>15</v>
      </c>
      <c r="P84" s="96">
        <v>5.3449999999999998</v>
      </c>
      <c r="Q84" s="97">
        <v>15</v>
      </c>
      <c r="R84" s="98">
        <v>-5.3449999999999998</v>
      </c>
    </row>
    <row r="85" spans="15:18" ht="16.5" customHeight="1">
      <c r="O85" s="95">
        <v>20</v>
      </c>
      <c r="P85" s="96">
        <v>5.7380000000000004</v>
      </c>
      <c r="Q85" s="97">
        <v>20</v>
      </c>
      <c r="R85" s="98">
        <v>-5.7380000000000004</v>
      </c>
    </row>
    <row r="86" spans="15:18" ht="16.5" customHeight="1">
      <c r="O86" s="95">
        <v>25</v>
      </c>
      <c r="P86" s="96">
        <v>5.9409999999999998</v>
      </c>
      <c r="Q86" s="97">
        <v>25</v>
      </c>
      <c r="R86" s="98">
        <v>-5.9409999999999998</v>
      </c>
    </row>
    <row r="87" spans="15:18" ht="16.5" customHeight="1">
      <c r="O87" s="95">
        <v>30</v>
      </c>
      <c r="P87" s="96">
        <v>6.0019999999999998</v>
      </c>
      <c r="Q87" s="97">
        <v>30</v>
      </c>
      <c r="R87" s="98">
        <v>-6.0019999999999998</v>
      </c>
    </row>
    <row r="88" spans="15:18" ht="16.5" customHeight="1">
      <c r="O88" s="95">
        <v>40</v>
      </c>
      <c r="P88" s="96">
        <v>5.8029999999999999</v>
      </c>
      <c r="Q88" s="97">
        <v>40</v>
      </c>
      <c r="R88" s="98">
        <v>-5.8029999999999999</v>
      </c>
    </row>
    <row r="89" spans="15:18" ht="16.5" customHeight="1">
      <c r="O89" s="95">
        <v>50</v>
      </c>
      <c r="P89" s="96">
        <v>5.2939999999999996</v>
      </c>
      <c r="Q89" s="97">
        <v>50</v>
      </c>
      <c r="R89" s="98">
        <v>-5.2939999999999996</v>
      </c>
    </row>
    <row r="90" spans="15:18" ht="16.5" customHeight="1">
      <c r="O90" s="95">
        <v>60</v>
      </c>
      <c r="P90" s="96">
        <v>4.5629999999999997</v>
      </c>
      <c r="Q90" s="97">
        <v>60</v>
      </c>
      <c r="R90" s="98">
        <v>-4.5629999999999997</v>
      </c>
    </row>
    <row r="91" spans="15:18" ht="16.5" customHeight="1">
      <c r="O91" s="95">
        <v>70</v>
      </c>
      <c r="P91" s="96">
        <v>3.6640000000000001</v>
      </c>
      <c r="Q91" s="97">
        <v>70</v>
      </c>
      <c r="R91" s="98">
        <v>-3.6640000000000001</v>
      </c>
    </row>
    <row r="92" spans="15:18" ht="16.5" customHeight="1">
      <c r="O92" s="95">
        <v>80</v>
      </c>
      <c r="P92" s="96">
        <v>2.6230000000000002</v>
      </c>
      <c r="Q92" s="97">
        <v>80</v>
      </c>
      <c r="R92" s="98">
        <v>-2.6230000000000002</v>
      </c>
    </row>
    <row r="93" spans="15:18" ht="16.5" customHeight="1">
      <c r="O93" s="95">
        <v>90</v>
      </c>
      <c r="P93" s="96">
        <v>1.448</v>
      </c>
      <c r="Q93" s="97">
        <v>90</v>
      </c>
      <c r="R93" s="98">
        <v>-1.448</v>
      </c>
    </row>
    <row r="94" spans="15:18" ht="16.5" customHeight="1">
      <c r="O94" s="95">
        <v>95</v>
      </c>
      <c r="P94" s="96">
        <v>0.80700000000000005</v>
      </c>
      <c r="Q94" s="97">
        <v>95</v>
      </c>
      <c r="R94" s="98">
        <v>-0.80700000000000005</v>
      </c>
    </row>
    <row r="95" spans="15:18" ht="15.75" customHeight="1">
      <c r="O95" s="95">
        <v>100</v>
      </c>
      <c r="P95" s="97">
        <v>0.126</v>
      </c>
      <c r="Q95" s="97">
        <v>100</v>
      </c>
      <c r="R95" s="99">
        <v>-0.126</v>
      </c>
    </row>
    <row r="96" spans="15:18" ht="15.75" customHeight="1">
      <c r="O96" s="95">
        <v>100</v>
      </c>
      <c r="P96" s="97">
        <v>0</v>
      </c>
      <c r="Q96" s="97">
        <v>100</v>
      </c>
      <c r="R96" s="99">
        <v>0</v>
      </c>
    </row>
  </sheetData>
  <mergeCells count="9">
    <mergeCell ref="J48:P48"/>
    <mergeCell ref="R48:X48"/>
    <mergeCell ref="J2:P2"/>
    <mergeCell ref="R2:X2"/>
    <mergeCell ref="A4:B4"/>
    <mergeCell ref="C4:D4"/>
    <mergeCell ref="B25:C25"/>
    <mergeCell ref="J25:P25"/>
    <mergeCell ref="R25:X2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topLeftCell="A4" zoomScale="115" zoomScaleNormal="115" workbookViewId="0">
      <selection activeCell="G12" sqref="G12"/>
    </sheetView>
  </sheetViews>
  <sheetFormatPr defaultColWidth="8.85546875" defaultRowHeight="15"/>
  <cols>
    <col min="1" max="1" width="29.7109375" style="1" customWidth="1"/>
    <col min="2" max="2" width="10.85546875" style="9" customWidth="1"/>
    <col min="3" max="3" width="11.42578125" style="1" customWidth="1"/>
    <col min="4" max="4" width="9.42578125" style="1" customWidth="1"/>
    <col min="5" max="5" width="11.42578125" style="1" customWidth="1"/>
  </cols>
  <sheetData>
    <row r="1" spans="1:16" ht="30" customHeight="1">
      <c r="A1" s="365" t="s">
        <v>228</v>
      </c>
      <c r="B1" s="100" t="s">
        <v>229</v>
      </c>
      <c r="C1" s="365" t="s">
        <v>230</v>
      </c>
      <c r="D1" s="365" t="s">
        <v>46</v>
      </c>
      <c r="E1" s="365" t="s">
        <v>46</v>
      </c>
      <c r="H1" s="11"/>
      <c r="I1" s="446" t="s">
        <v>231</v>
      </c>
      <c r="J1" s="446"/>
    </row>
    <row r="2" spans="1:16" ht="15.75" customHeight="1">
      <c r="A2" s="365"/>
      <c r="B2" s="100" t="s">
        <v>232</v>
      </c>
      <c r="C2" s="365" t="s">
        <v>232</v>
      </c>
      <c r="D2" s="365" t="s">
        <v>233</v>
      </c>
      <c r="E2" s="365" t="s">
        <v>234</v>
      </c>
      <c r="H2" s="104"/>
      <c r="I2" s="446" t="s">
        <v>235</v>
      </c>
      <c r="J2" s="446"/>
    </row>
    <row r="3" spans="1:16" ht="15.75" customHeight="1">
      <c r="A3" s="101" t="s">
        <v>236</v>
      </c>
      <c r="B3" s="102" t="s">
        <v>237</v>
      </c>
      <c r="C3" s="103">
        <f>(D3/$D$31)*100</f>
        <v>32.817494403471073</v>
      </c>
      <c r="D3" s="104">
        <f>SUM(D4:D8)</f>
        <v>549.20114440817827</v>
      </c>
      <c r="E3" s="103">
        <f>D3/2.2</f>
        <v>249.6368838218992</v>
      </c>
      <c r="F3" s="89" t="s">
        <v>238</v>
      </c>
    </row>
    <row r="4" spans="1:16" ht="15.75" customHeight="1">
      <c r="A4" s="101" t="s">
        <v>239</v>
      </c>
      <c r="B4" s="105"/>
      <c r="C4" s="103">
        <f>(D4/$D$31)*100</f>
        <v>10.158343815182706</v>
      </c>
      <c r="D4" s="106">
        <v>170</v>
      </c>
      <c r="E4" s="103">
        <f>D4/2.2</f>
        <v>77.272727272727266</v>
      </c>
    </row>
    <row r="5" spans="1:16" ht="15.75" customHeight="1">
      <c r="A5" s="101" t="s">
        <v>240</v>
      </c>
      <c r="B5" s="105"/>
      <c r="C5" s="103">
        <f>(D5/$D$31)*100</f>
        <v>10.158343815182706</v>
      </c>
      <c r="D5" s="106">
        <v>170</v>
      </c>
      <c r="E5" s="103">
        <f>D5/2.2</f>
        <v>77.272727272727266</v>
      </c>
    </row>
    <row r="6" spans="1:16" ht="15.75" customHeight="1">
      <c r="A6" s="101" t="s">
        <v>241</v>
      </c>
      <c r="B6" s="105"/>
      <c r="C6" s="103">
        <f>(D6/$D$31)*100</f>
        <v>2.3901985447488721</v>
      </c>
      <c r="D6" s="106">
        <v>40</v>
      </c>
      <c r="E6" s="103">
        <f>D6/2.2</f>
        <v>18.18181818181818</v>
      </c>
      <c r="L6" s="445" t="s">
        <v>242</v>
      </c>
      <c r="M6" s="445"/>
      <c r="N6" s="445"/>
      <c r="O6" s="445"/>
      <c r="P6" s="352">
        <v>134.3739612</v>
      </c>
    </row>
    <row r="7" spans="1:16" ht="15.75" customHeight="1">
      <c r="A7" s="101" t="s">
        <v>243</v>
      </c>
      <c r="B7" s="105"/>
      <c r="C7" s="103">
        <f>(D7/$D$31)*100</f>
        <v>9.4786952140844907</v>
      </c>
      <c r="D7" s="107">
        <f>'ACT 3'!F11</f>
        <v>158.62607288266719</v>
      </c>
      <c r="E7" s="103">
        <f>D7/2.2</f>
        <v>72.10276040121235</v>
      </c>
      <c r="F7" s="89" t="s">
        <v>244</v>
      </c>
      <c r="L7" s="445" t="s">
        <v>245</v>
      </c>
      <c r="M7" s="445"/>
      <c r="N7" s="445"/>
      <c r="O7" s="445"/>
      <c r="P7" s="353">
        <v>10.575071530000001</v>
      </c>
    </row>
    <row r="8" spans="1:16" ht="15.75" customHeight="1">
      <c r="A8" s="101" t="s">
        <v>246</v>
      </c>
      <c r="B8" s="105"/>
      <c r="C8" s="103">
        <f>(D8/$D$31)*100</f>
        <v>0.6319130142722994</v>
      </c>
      <c r="D8" s="107">
        <f>'ACT 3'!F15</f>
        <v>10.575071525511145</v>
      </c>
      <c r="E8" s="103">
        <f>D8/2.2</f>
        <v>4.8068506934141562</v>
      </c>
      <c r="F8" s="89" t="s">
        <v>247</v>
      </c>
      <c r="L8" s="445" t="s">
        <v>248</v>
      </c>
      <c r="M8" s="445"/>
      <c r="N8" s="445"/>
      <c r="O8" s="445"/>
      <c r="P8" s="352">
        <v>210</v>
      </c>
    </row>
    <row r="9" spans="1:16" ht="15.75" customHeight="1">
      <c r="A9" s="101" t="s">
        <v>249</v>
      </c>
      <c r="B9" s="105" t="s">
        <v>250</v>
      </c>
      <c r="C9" s="103">
        <f>(D9/$D$31)*100</f>
        <v>67.182505596528927</v>
      </c>
      <c r="D9" s="103">
        <f>D31-D3</f>
        <v>1124.3000000000002</v>
      </c>
      <c r="E9" s="103">
        <f>D9/2.2</f>
        <v>511.04545454545456</v>
      </c>
      <c r="L9" s="445" t="s">
        <v>251</v>
      </c>
      <c r="M9" s="445"/>
      <c r="N9" s="445"/>
      <c r="O9" s="445"/>
      <c r="P9" s="352">
        <v>180</v>
      </c>
    </row>
    <row r="10" spans="1:16" ht="15.75" customHeight="1">
      <c r="A10" s="108" t="s">
        <v>252</v>
      </c>
      <c r="B10" s="105" t="s">
        <v>237</v>
      </c>
      <c r="C10" s="103">
        <f>(D10/$D$31)*100</f>
        <v>31.042703599925975</v>
      </c>
      <c r="D10" s="103">
        <f>SUM(D11:D17)</f>
        <v>519.5</v>
      </c>
      <c r="E10" s="103">
        <f>D10/2.2</f>
        <v>236.13636363636363</v>
      </c>
      <c r="L10" s="445" t="s">
        <v>253</v>
      </c>
      <c r="M10" s="445"/>
      <c r="N10" s="445"/>
      <c r="O10" s="445"/>
      <c r="P10" s="352">
        <v>33</v>
      </c>
    </row>
    <row r="11" spans="1:16" ht="15.75" customHeight="1">
      <c r="A11" s="101" t="s">
        <v>254</v>
      </c>
      <c r="B11" s="105" t="s">
        <v>255</v>
      </c>
      <c r="C11" s="103">
        <f>(D11/$D$31)*100</f>
        <v>12.548542359931577</v>
      </c>
      <c r="D11" s="106">
        <v>210</v>
      </c>
      <c r="E11" s="103">
        <f>D11/2.2</f>
        <v>95.454545454545453</v>
      </c>
      <c r="G11" s="20"/>
      <c r="L11" s="445" t="s">
        <v>256</v>
      </c>
      <c r="M11" s="445"/>
      <c r="N11" s="445"/>
      <c r="O11" s="445"/>
      <c r="P11" s="352">
        <v>32</v>
      </c>
    </row>
    <row r="12" spans="1:16" ht="30.75" customHeight="1">
      <c r="A12" s="101" t="s">
        <v>257</v>
      </c>
      <c r="B12" s="105" t="s">
        <v>258</v>
      </c>
      <c r="C12" s="103">
        <f>(D12/$D$31)*100</f>
        <v>10.755893451369925</v>
      </c>
      <c r="D12" s="106">
        <v>180</v>
      </c>
      <c r="E12" s="103">
        <f>D12/2.2</f>
        <v>81.818181818181813</v>
      </c>
      <c r="L12" s="445" t="s">
        <v>259</v>
      </c>
      <c r="M12" s="445"/>
      <c r="N12" s="445"/>
      <c r="O12" s="445"/>
      <c r="P12" s="352">
        <v>16.5</v>
      </c>
    </row>
    <row r="13" spans="1:16" ht="30.75" customHeight="1">
      <c r="A13" s="101" t="s">
        <v>260</v>
      </c>
      <c r="B13" s="105" t="s">
        <v>261</v>
      </c>
      <c r="C13" s="103">
        <f>(D13/$D$31)*100</f>
        <v>1.9719137994178195</v>
      </c>
      <c r="D13" s="106">
        <v>33</v>
      </c>
      <c r="E13" s="103">
        <f>D13/2.2</f>
        <v>14.999999999999998</v>
      </c>
      <c r="L13" s="445" t="s">
        <v>262</v>
      </c>
      <c r="M13" s="445"/>
      <c r="N13" s="445"/>
      <c r="O13" s="445"/>
      <c r="P13" s="352">
        <v>32</v>
      </c>
    </row>
    <row r="14" spans="1:16" ht="30.75" customHeight="1">
      <c r="A14" s="101" t="s">
        <v>263</v>
      </c>
      <c r="B14" s="105" t="s">
        <v>261</v>
      </c>
      <c r="C14" s="103">
        <f>(D14/$D$31)*100</f>
        <v>1.9121588357990975</v>
      </c>
      <c r="D14" s="106">
        <v>32</v>
      </c>
      <c r="E14" s="103">
        <f>D14/2.2</f>
        <v>14.545454545454545</v>
      </c>
      <c r="L14" s="445" t="s">
        <v>264</v>
      </c>
      <c r="M14" s="445"/>
      <c r="N14" s="445"/>
      <c r="O14" s="445"/>
      <c r="P14" s="352">
        <v>16</v>
      </c>
    </row>
    <row r="15" spans="1:16" ht="15.75" customHeight="1">
      <c r="A15" s="101" t="s">
        <v>265</v>
      </c>
      <c r="B15" s="105">
        <v>1</v>
      </c>
      <c r="C15" s="103">
        <f>(D15/$D$31)*100</f>
        <v>0.98595689970890976</v>
      </c>
      <c r="D15" s="106">
        <v>16.5</v>
      </c>
      <c r="E15" s="103">
        <f>D15/2.2</f>
        <v>7.4999999999999991</v>
      </c>
      <c r="L15" s="445" t="s">
        <v>266</v>
      </c>
      <c r="M15" s="445"/>
      <c r="N15" s="445"/>
      <c r="O15" s="445"/>
      <c r="P15" s="352">
        <v>92.6</v>
      </c>
    </row>
    <row r="16" spans="1:16" ht="15.75" customHeight="1">
      <c r="A16" s="101" t="s">
        <v>267</v>
      </c>
      <c r="B16" s="105" t="s">
        <v>261</v>
      </c>
      <c r="C16" s="103">
        <f>(D16/$D$31)*100</f>
        <v>1.9121588357990975</v>
      </c>
      <c r="D16" s="106">
        <v>32</v>
      </c>
      <c r="E16" s="103">
        <f>D16/2.2</f>
        <v>14.545454545454545</v>
      </c>
      <c r="L16" s="445" t="s">
        <v>268</v>
      </c>
      <c r="M16" s="445"/>
      <c r="N16" s="445"/>
      <c r="O16" s="445"/>
      <c r="P16" s="352">
        <v>49</v>
      </c>
    </row>
    <row r="17" spans="1:16" ht="15.75" customHeight="1">
      <c r="A17" s="101" t="s">
        <v>269</v>
      </c>
      <c r="B17" s="105" t="s">
        <v>270</v>
      </c>
      <c r="C17" s="103">
        <f>(D17/$D$31)*100</f>
        <v>0.95607941789954876</v>
      </c>
      <c r="D17" s="106">
        <v>16</v>
      </c>
      <c r="E17" s="103">
        <f>D17/2.2</f>
        <v>7.2727272727272725</v>
      </c>
      <c r="L17" s="445" t="s">
        <v>271</v>
      </c>
      <c r="M17" s="445"/>
      <c r="N17" s="445"/>
      <c r="O17" s="445"/>
      <c r="P17" s="352">
        <v>24</v>
      </c>
    </row>
    <row r="18" spans="1:16" ht="15.75" customHeight="1">
      <c r="A18" s="108" t="s">
        <v>272</v>
      </c>
      <c r="B18" s="105" t="s">
        <v>273</v>
      </c>
      <c r="C18" s="103">
        <f>(D18/$D$31)*100</f>
        <v>15.363001146373378</v>
      </c>
      <c r="D18" s="103">
        <f>SUM(D19,D20,D21,D22,D26,D27)</f>
        <v>257.10000000000002</v>
      </c>
      <c r="E18" s="103">
        <f>D18/2.2</f>
        <v>116.86363636363636</v>
      </c>
      <c r="L18" s="445" t="s">
        <v>274</v>
      </c>
      <c r="M18" s="445"/>
      <c r="N18" s="445"/>
      <c r="O18" s="445"/>
      <c r="P18" s="354">
        <v>33.5</v>
      </c>
    </row>
    <row r="19" spans="1:16" ht="15.75" customHeight="1">
      <c r="A19" s="101" t="s">
        <v>275</v>
      </c>
      <c r="B19" s="105" t="s">
        <v>276</v>
      </c>
      <c r="C19" s="103">
        <f>(D19/$D$31)*100</f>
        <v>5.5333096310936387</v>
      </c>
      <c r="D19" s="106">
        <v>92.6</v>
      </c>
      <c r="E19" s="103">
        <f>D19/2.2</f>
        <v>42.090909090909086</v>
      </c>
      <c r="L19" s="445" t="s">
        <v>277</v>
      </c>
      <c r="M19" s="445"/>
      <c r="N19" s="445"/>
      <c r="O19" s="445"/>
      <c r="P19" s="352">
        <v>34</v>
      </c>
    </row>
    <row r="20" spans="1:16" ht="30.75" customHeight="1">
      <c r="A20" s="101" t="s">
        <v>278</v>
      </c>
      <c r="B20" s="105" t="s">
        <v>279</v>
      </c>
      <c r="C20" s="103">
        <f>(D20/$D$31)*100</f>
        <v>2.9279932173173684</v>
      </c>
      <c r="D20" s="106">
        <v>49</v>
      </c>
      <c r="E20" s="103">
        <f>D20/2.2</f>
        <v>22.27272727272727</v>
      </c>
      <c r="L20" s="445" t="s">
        <v>280</v>
      </c>
      <c r="M20" s="445"/>
      <c r="N20" s="445"/>
      <c r="O20" s="445"/>
      <c r="P20" s="352">
        <v>24</v>
      </c>
    </row>
    <row r="21" spans="1:16" ht="30.75" customHeight="1">
      <c r="A21" s="101" t="s">
        <v>281</v>
      </c>
      <c r="B21" s="105" t="s">
        <v>282</v>
      </c>
      <c r="C21" s="103">
        <f>(D21/$D$31)*100</f>
        <v>1.4341191268493232</v>
      </c>
      <c r="D21" s="106">
        <v>24</v>
      </c>
      <c r="E21" s="103">
        <f>D21/2.2</f>
        <v>10.909090909090908</v>
      </c>
      <c r="L21" s="445" t="s">
        <v>137</v>
      </c>
      <c r="M21" s="445"/>
      <c r="N21" s="445"/>
      <c r="O21" s="445"/>
      <c r="P21" s="352">
        <v>285.7</v>
      </c>
    </row>
    <row r="22" spans="1:16" ht="15.75" customHeight="1">
      <c r="A22" s="101" t="s">
        <v>283</v>
      </c>
      <c r="B22" s="105" t="s">
        <v>284</v>
      </c>
      <c r="C22" s="103">
        <f>(D22/$D$31)*100</f>
        <v>2.0017912812271805</v>
      </c>
      <c r="D22" s="103">
        <f>SUM(D23:D25)</f>
        <v>33.5</v>
      </c>
      <c r="E22" s="103">
        <f>D22/2.2</f>
        <v>15.227272727272727</v>
      </c>
      <c r="L22" s="445" t="s">
        <v>285</v>
      </c>
      <c r="M22" s="445"/>
      <c r="N22" s="445"/>
      <c r="O22" s="445"/>
      <c r="P22" s="352">
        <v>62</v>
      </c>
    </row>
    <row r="23" spans="1:16" ht="30.75" customHeight="1">
      <c r="A23" s="109" t="s">
        <v>286</v>
      </c>
      <c r="B23" s="105"/>
      <c r="C23" s="103">
        <f>(D23/$D$31)*100</f>
        <v>0.20914237266552632</v>
      </c>
      <c r="D23" s="106">
        <v>3.5</v>
      </c>
      <c r="E23" s="103">
        <f>D23/2.2</f>
        <v>1.5909090909090908</v>
      </c>
    </row>
    <row r="24" spans="1:16" ht="30.75" customHeight="1">
      <c r="A24" s="109" t="s">
        <v>287</v>
      </c>
      <c r="B24" s="105"/>
      <c r="C24" s="103">
        <f>(D24/$D$31)*100</f>
        <v>1.0755893451369924</v>
      </c>
      <c r="D24" s="106">
        <v>18</v>
      </c>
      <c r="E24" s="103">
        <f>D24/2.2</f>
        <v>8.1818181818181817</v>
      </c>
    </row>
    <row r="25" spans="1:16" ht="30.75" customHeight="1">
      <c r="A25" s="109" t="s">
        <v>288</v>
      </c>
      <c r="B25" s="105"/>
      <c r="C25" s="103">
        <f>(D25/$D$31)*100</f>
        <v>0.71705956342466159</v>
      </c>
      <c r="D25" s="106">
        <v>12</v>
      </c>
      <c r="E25" s="103">
        <f>D25/2.2</f>
        <v>5.4545454545454541</v>
      </c>
    </row>
    <row r="26" spans="1:16" ht="30.75" customHeight="1">
      <c r="A26" s="101" t="s">
        <v>289</v>
      </c>
      <c r="B26" s="105" t="s">
        <v>284</v>
      </c>
      <c r="C26" s="103">
        <f>(D26/$D$31)*100</f>
        <v>2.0316687630365413</v>
      </c>
      <c r="D26" s="106">
        <v>34</v>
      </c>
      <c r="E26" s="103">
        <f>D26/2.2</f>
        <v>15.454545454545453</v>
      </c>
      <c r="H26" s="9"/>
    </row>
    <row r="27" spans="1:16" ht="15.75" customHeight="1">
      <c r="A27" s="101" t="s">
        <v>290</v>
      </c>
      <c r="B27" s="105" t="s">
        <v>282</v>
      </c>
      <c r="C27" s="103">
        <f>(D27/$D$31)*100</f>
        <v>1.4341191268493232</v>
      </c>
      <c r="D27" s="106">
        <v>24</v>
      </c>
      <c r="E27" s="103">
        <f>D27/2.2</f>
        <v>10.909090909090908</v>
      </c>
    </row>
    <row r="28" spans="1:16" ht="15.75" customHeight="1">
      <c r="A28" s="108" t="s">
        <v>291</v>
      </c>
      <c r="B28" s="105" t="s">
        <v>292</v>
      </c>
      <c r="C28" s="103">
        <f>(D28/$D$31)*100</f>
        <v>20.77680085022957</v>
      </c>
      <c r="D28" s="106">
        <f>SUM(D29:D30)</f>
        <v>347.7</v>
      </c>
      <c r="E28" s="103">
        <f>D28/2.2</f>
        <v>158.04545454545453</v>
      </c>
    </row>
    <row r="29" spans="1:16" ht="30.75" customHeight="1">
      <c r="A29" s="101" t="s">
        <v>293</v>
      </c>
      <c r="B29" s="105" t="s">
        <v>294</v>
      </c>
      <c r="C29" s="103">
        <f>(D29/$D$31)*100</f>
        <v>17.071993105868817</v>
      </c>
      <c r="D29" s="106">
        <v>285.7</v>
      </c>
      <c r="E29" s="103">
        <f>D29/2.2</f>
        <v>129.86363636363635</v>
      </c>
    </row>
    <row r="30" spans="1:16" ht="15.75" customHeight="1">
      <c r="A30" s="101" t="s">
        <v>295</v>
      </c>
      <c r="B30" s="105" t="s">
        <v>296</v>
      </c>
      <c r="C30" s="103">
        <f>(D30/$D$31)*100</f>
        <v>3.7048077443607519</v>
      </c>
      <c r="D30" s="106">
        <v>62</v>
      </c>
      <c r="E30" s="103">
        <f>D30/2.2</f>
        <v>28.18181818181818</v>
      </c>
    </row>
    <row r="31" spans="1:16" ht="15.75" customHeight="1">
      <c r="A31" s="101" t="s">
        <v>297</v>
      </c>
      <c r="B31" s="105"/>
      <c r="C31" s="103">
        <v>100</v>
      </c>
      <c r="D31" s="103">
        <f>SUM(D28,D18,D10,D3)</f>
        <v>1673.5011444081783</v>
      </c>
      <c r="E31" s="103">
        <f>D31/2.2</f>
        <v>760.68233836735374</v>
      </c>
    </row>
    <row r="33" spans="4:4" ht="15" customHeight="1">
      <c r="D33" s="1">
        <v>1649.25</v>
      </c>
    </row>
    <row r="35" spans="4:4" ht="15" customHeight="1">
      <c r="D35" s="9">
        <f>D33-D31</f>
        <v>-24.251144408178334</v>
      </c>
    </row>
  </sheetData>
  <mergeCells count="19">
    <mergeCell ref="I1:J1"/>
    <mergeCell ref="I2:J2"/>
    <mergeCell ref="L6:O6"/>
    <mergeCell ref="L7:O7"/>
    <mergeCell ref="L8:O8"/>
    <mergeCell ref="L9:O9"/>
    <mergeCell ref="L10:O10"/>
    <mergeCell ref="L11:O11"/>
    <mergeCell ref="L12:O12"/>
    <mergeCell ref="L13:O13"/>
    <mergeCell ref="L19:O19"/>
    <mergeCell ref="L20:O20"/>
    <mergeCell ref="L21:O21"/>
    <mergeCell ref="L22:O22"/>
    <mergeCell ref="L14:O14"/>
    <mergeCell ref="L15:O15"/>
    <mergeCell ref="L16:O16"/>
    <mergeCell ref="L17:O17"/>
    <mergeCell ref="L18:O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S70"/>
  <sheetViews>
    <sheetView topLeftCell="A45" zoomScale="85" zoomScaleNormal="85" workbookViewId="0">
      <selection activeCell="V55" sqref="V55"/>
    </sheetView>
  </sheetViews>
  <sheetFormatPr defaultColWidth="8.85546875" defaultRowHeight="15"/>
  <cols>
    <col min="3" max="3" width="8.140625" style="1" customWidth="1"/>
    <col min="4" max="4" width="17.42578125" style="1" customWidth="1"/>
    <col min="5" max="9" width="13.140625" style="1" customWidth="1"/>
  </cols>
  <sheetData>
    <row r="4" spans="4:12" ht="19.5" customHeight="1">
      <c r="D4" s="448" t="s">
        <v>298</v>
      </c>
      <c r="E4" s="448"/>
      <c r="F4" s="448"/>
      <c r="G4" s="448"/>
      <c r="H4" s="448"/>
      <c r="I4" s="448"/>
    </row>
    <row r="5" spans="4:12" ht="19.5" customHeight="1">
      <c r="D5" s="449" t="s">
        <v>299</v>
      </c>
      <c r="E5" s="110" t="s">
        <v>99</v>
      </c>
      <c r="F5" s="359" t="s">
        <v>300</v>
      </c>
      <c r="G5" s="359" t="s">
        <v>301</v>
      </c>
      <c r="H5" s="359" t="s">
        <v>302</v>
      </c>
      <c r="I5" s="359" t="s">
        <v>303</v>
      </c>
    </row>
    <row r="6" spans="4:12" ht="19.5" customHeight="1">
      <c r="D6" s="449"/>
      <c r="E6" s="106" t="s">
        <v>304</v>
      </c>
      <c r="F6" s="106" t="s">
        <v>305</v>
      </c>
      <c r="G6" s="106" t="s">
        <v>305</v>
      </c>
      <c r="H6" s="103" t="s">
        <v>306</v>
      </c>
      <c r="I6" s="103" t="s">
        <v>306</v>
      </c>
      <c r="K6" s="359" t="s">
        <v>307</v>
      </c>
      <c r="L6" s="111">
        <f>H9/E9</f>
        <v>0.20480869565217388</v>
      </c>
    </row>
    <row r="7" spans="4:12" ht="19.5" customHeight="1">
      <c r="D7" s="359" t="s">
        <v>308</v>
      </c>
      <c r="E7" s="106">
        <v>2.4500000000000001E-2</v>
      </c>
      <c r="F7" s="106">
        <v>0.23769999999999999</v>
      </c>
      <c r="G7" s="112">
        <v>1.1001000000000001</v>
      </c>
      <c r="H7" s="111">
        <f>E7*F7</f>
        <v>5.8236499999999997E-3</v>
      </c>
      <c r="I7" s="111">
        <f>E7*G7</f>
        <v>2.6952450000000003E-2</v>
      </c>
      <c r="K7" s="359" t="s">
        <v>309</v>
      </c>
      <c r="L7" s="111">
        <f>ROUND(I9/E9,4)</f>
        <v>1.101</v>
      </c>
    </row>
    <row r="8" spans="4:12" ht="19.5" customHeight="1">
      <c r="D8" s="359" t="s">
        <v>310</v>
      </c>
      <c r="E8" s="106">
        <v>4.4499999999999998E-2</v>
      </c>
      <c r="F8" s="106">
        <v>0.1867</v>
      </c>
      <c r="G8" s="112">
        <v>1.1014999999999999</v>
      </c>
      <c r="H8" s="111">
        <f>E8*F8</f>
        <v>8.3081500000000003E-3</v>
      </c>
      <c r="I8" s="111">
        <f>E8*G8</f>
        <v>4.9016749999999991E-2</v>
      </c>
    </row>
    <row r="9" spans="4:12" ht="19.5" customHeight="1">
      <c r="E9" s="113">
        <f>SUM(E7:E8)</f>
        <v>6.9000000000000006E-2</v>
      </c>
      <c r="H9" s="114">
        <f>SUM(H7:H8)</f>
        <v>1.41318E-2</v>
      </c>
      <c r="I9" s="114">
        <f>SUM(I7:I8)</f>
        <v>7.5969199999999987E-2</v>
      </c>
    </row>
    <row r="10" spans="4:12" ht="19.5" customHeight="1"/>
    <row r="11" spans="4:12" ht="19.5" customHeight="1"/>
    <row r="12" spans="4:12" ht="19.5" customHeight="1"/>
    <row r="13" spans="4:12" ht="19.5" customHeight="1">
      <c r="D13" s="448" t="s">
        <v>311</v>
      </c>
      <c r="E13" s="448"/>
      <c r="F13" s="448"/>
      <c r="G13" s="448"/>
      <c r="H13" s="448"/>
      <c r="I13" s="448"/>
    </row>
    <row r="14" spans="4:12" ht="19.5" customHeight="1">
      <c r="D14" s="449" t="s">
        <v>299</v>
      </c>
      <c r="E14" s="110" t="s">
        <v>99</v>
      </c>
      <c r="F14" s="359" t="s">
        <v>300</v>
      </c>
      <c r="G14" s="359" t="s">
        <v>301</v>
      </c>
      <c r="H14" s="359" t="s">
        <v>302</v>
      </c>
      <c r="I14" s="359" t="s">
        <v>303</v>
      </c>
    </row>
    <row r="15" spans="4:12" ht="19.5" customHeight="1">
      <c r="D15" s="449"/>
      <c r="E15" s="106" t="s">
        <v>304</v>
      </c>
      <c r="F15" s="106" t="s">
        <v>305</v>
      </c>
      <c r="G15" s="106" t="s">
        <v>305</v>
      </c>
      <c r="H15" s="103" t="s">
        <v>306</v>
      </c>
      <c r="I15" s="103" t="s">
        <v>306</v>
      </c>
      <c r="K15" s="359" t="s">
        <v>307</v>
      </c>
      <c r="L15" s="111">
        <f>H18/E18</f>
        <v>0.86790310889443056</v>
      </c>
    </row>
    <row r="16" spans="4:12" ht="19.5" customHeight="1">
      <c r="D16" s="359" t="s">
        <v>312</v>
      </c>
      <c r="E16" s="106">
        <v>0.40870000000000001</v>
      </c>
      <c r="F16" s="106">
        <v>0.83040000000000003</v>
      </c>
      <c r="G16" s="112">
        <v>0.93940000000000001</v>
      </c>
      <c r="H16" s="111">
        <f>E16*F16</f>
        <v>0.33938448000000004</v>
      </c>
      <c r="I16" s="111">
        <f>E16*G16</f>
        <v>0.38393278000000003</v>
      </c>
      <c r="K16" s="359" t="s">
        <v>309</v>
      </c>
      <c r="L16" s="111">
        <f>ROUND(I18/E18,4)</f>
        <v>0.92779999999999996</v>
      </c>
    </row>
    <row r="17" spans="4:12" ht="19.5" customHeight="1">
      <c r="D17" s="359" t="s">
        <v>313</v>
      </c>
      <c r="E17" s="106">
        <v>0.79430000000000001</v>
      </c>
      <c r="F17" s="106">
        <v>0.88719999999999999</v>
      </c>
      <c r="G17" s="112">
        <v>0.92179999999999995</v>
      </c>
      <c r="H17" s="111">
        <f>E17*F17</f>
        <v>0.70470295999999999</v>
      </c>
      <c r="I17" s="111">
        <f>E17*G17</f>
        <v>0.73218573999999992</v>
      </c>
    </row>
    <row r="18" spans="4:12" ht="19.5" customHeight="1">
      <c r="E18" s="114">
        <f>SUM(E16:E17)</f>
        <v>1.2030000000000001</v>
      </c>
      <c r="H18" s="114">
        <f>SUM(H16:H17)</f>
        <v>1.04408744</v>
      </c>
      <c r="I18" s="114">
        <f>SUM(I16:I17)</f>
        <v>1.1161185199999999</v>
      </c>
    </row>
    <row r="19" spans="4:12" ht="19.5" customHeight="1"/>
    <row r="20" spans="4:12" ht="19.5" customHeight="1"/>
    <row r="21" spans="4:12" ht="19.5" customHeight="1"/>
    <row r="22" spans="4:12" ht="19.5" customHeight="1">
      <c r="D22" s="448" t="s">
        <v>314</v>
      </c>
      <c r="E22" s="448"/>
      <c r="F22" s="448"/>
      <c r="G22" s="448"/>
      <c r="H22" s="448"/>
      <c r="I22" s="448"/>
    </row>
    <row r="23" spans="4:12" ht="19.5" customHeight="1">
      <c r="D23" s="449" t="s">
        <v>299</v>
      </c>
      <c r="E23" s="110" t="s">
        <v>99</v>
      </c>
      <c r="F23" s="359" t="s">
        <v>300</v>
      </c>
      <c r="G23" s="359" t="s">
        <v>301</v>
      </c>
      <c r="H23" s="359" t="s">
        <v>302</v>
      </c>
      <c r="I23" s="359" t="s">
        <v>303</v>
      </c>
    </row>
    <row r="24" spans="4:12" ht="19.5" customHeight="1">
      <c r="D24" s="449"/>
      <c r="E24" s="106" t="s">
        <v>304</v>
      </c>
      <c r="F24" s="106" t="s">
        <v>305</v>
      </c>
      <c r="G24" s="106" t="s">
        <v>305</v>
      </c>
      <c r="H24" s="103" t="s">
        <v>306</v>
      </c>
      <c r="I24" s="103" t="s">
        <v>306</v>
      </c>
      <c r="K24" s="359" t="s">
        <v>307</v>
      </c>
      <c r="L24" s="111">
        <f>H32/E32</f>
        <v>2.9221472402201982</v>
      </c>
    </row>
    <row r="25" spans="4:12" ht="19.5" customHeight="1">
      <c r="D25" s="359" t="s">
        <v>315</v>
      </c>
      <c r="E25" s="112">
        <v>3.2502</v>
      </c>
      <c r="F25" s="112">
        <v>3.1208</v>
      </c>
      <c r="G25" s="112">
        <v>1.1104000000000001</v>
      </c>
      <c r="H25" s="111">
        <f>E25*F25</f>
        <v>10.143224160000001</v>
      </c>
      <c r="I25" s="111">
        <f>E25*G25</f>
        <v>3.6090220800000004</v>
      </c>
      <c r="K25" s="359" t="s">
        <v>309</v>
      </c>
      <c r="L25" s="111">
        <f>ROUND(I32/E32,4)</f>
        <v>1.1257999999999999</v>
      </c>
    </row>
    <row r="26" spans="4:12" ht="19.5" customHeight="1">
      <c r="D26" s="359" t="s">
        <v>316</v>
      </c>
      <c r="E26" s="112">
        <v>0.28100000000000003</v>
      </c>
      <c r="F26" s="112">
        <v>2.379</v>
      </c>
      <c r="G26" s="112">
        <v>1.3902000000000001</v>
      </c>
      <c r="H26" s="111">
        <f>E26*F26</f>
        <v>0.66849900000000007</v>
      </c>
      <c r="I26" s="111">
        <f>E26*G26</f>
        <v>0.39064620000000005</v>
      </c>
      <c r="K26" s="115"/>
    </row>
    <row r="27" spans="4:12" ht="19.5" customHeight="1">
      <c r="D27" s="359" t="s">
        <v>317</v>
      </c>
      <c r="E27" s="112">
        <v>0.17419999999999999</v>
      </c>
      <c r="F27" s="112">
        <v>1.6186</v>
      </c>
      <c r="G27" s="112">
        <v>1.1494</v>
      </c>
      <c r="H27" s="111">
        <f>E27*F27</f>
        <v>0.28196011999999998</v>
      </c>
      <c r="I27" s="111">
        <f>E27*G27</f>
        <v>0.20022547999999998</v>
      </c>
      <c r="K27" s="115"/>
    </row>
    <row r="28" spans="4:12" ht="19.5" customHeight="1">
      <c r="D28" s="359" t="s">
        <v>318</v>
      </c>
      <c r="E28" s="112">
        <v>0.03</v>
      </c>
      <c r="F28" s="112">
        <v>1.36</v>
      </c>
      <c r="G28" s="112">
        <v>1.1399999999999999</v>
      </c>
      <c r="H28" s="111">
        <f>E28*F28</f>
        <v>4.0800000000000003E-2</v>
      </c>
      <c r="I28" s="111">
        <f>E28*G28</f>
        <v>3.4199999999999994E-2</v>
      </c>
      <c r="K28" s="115"/>
    </row>
    <row r="29" spans="4:12" ht="19.5" customHeight="1">
      <c r="D29" s="359" t="s">
        <v>319</v>
      </c>
      <c r="E29" s="112">
        <v>0.11</v>
      </c>
      <c r="F29" s="112">
        <v>2.31</v>
      </c>
      <c r="G29" s="112">
        <v>1.03</v>
      </c>
      <c r="H29" s="111">
        <f>E29*F29</f>
        <v>0.25409999999999999</v>
      </c>
      <c r="I29" s="111">
        <f>E29*G29</f>
        <v>0.1133</v>
      </c>
      <c r="K29" s="115"/>
    </row>
    <row r="30" spans="4:12" ht="19.5" customHeight="1">
      <c r="D30" s="359" t="s">
        <v>320</v>
      </c>
      <c r="E30" s="112">
        <v>0.15</v>
      </c>
      <c r="F30" s="112">
        <v>2.11</v>
      </c>
      <c r="G30" s="112">
        <v>1.1399999999999999</v>
      </c>
      <c r="H30" s="111">
        <f>E30*F30</f>
        <v>0.31649999999999995</v>
      </c>
      <c r="I30" s="111">
        <f>E30*G30</f>
        <v>0.17099999999999999</v>
      </c>
      <c r="K30" s="115"/>
    </row>
    <row r="31" spans="4:12" ht="19.5" customHeight="1">
      <c r="D31" s="359" t="s">
        <v>321</v>
      </c>
      <c r="E31" s="112">
        <v>0.11</v>
      </c>
      <c r="F31" s="112">
        <v>2.65</v>
      </c>
      <c r="G31" s="112">
        <v>0.94</v>
      </c>
      <c r="H31" s="111">
        <f>E31*F31</f>
        <v>0.29149999999999998</v>
      </c>
      <c r="I31" s="111">
        <f>E31*G31</f>
        <v>0.10339999999999999</v>
      </c>
      <c r="K31" s="115"/>
    </row>
    <row r="32" spans="4:12" ht="19.5" customHeight="1">
      <c r="E32" s="114">
        <f>SUM(E25:E31)</f>
        <v>4.1053999999999995</v>
      </c>
      <c r="H32" s="114">
        <f>SUM(H25:H31)</f>
        <v>11.996583280000001</v>
      </c>
      <c r="I32" s="114">
        <f>SUM(I25:I31)</f>
        <v>4.6217937600000001</v>
      </c>
    </row>
    <row r="36" spans="4:19" ht="19.5" customHeight="1">
      <c r="D36" s="448" t="s">
        <v>322</v>
      </c>
      <c r="E36" s="448"/>
      <c r="F36" s="448"/>
      <c r="G36" s="448"/>
      <c r="H36" s="448"/>
      <c r="I36" s="448"/>
    </row>
    <row r="37" spans="4:19" ht="19.5" customHeight="1">
      <c r="D37" s="449" t="s">
        <v>299</v>
      </c>
      <c r="E37" s="110" t="s">
        <v>99</v>
      </c>
      <c r="F37" s="359" t="s">
        <v>300</v>
      </c>
      <c r="G37" s="359" t="s">
        <v>301</v>
      </c>
      <c r="H37" s="359" t="s">
        <v>302</v>
      </c>
      <c r="I37" s="359" t="s">
        <v>303</v>
      </c>
    </row>
    <row r="38" spans="4:19" ht="19.5" customHeight="1">
      <c r="D38" s="449"/>
      <c r="E38" s="106" t="s">
        <v>304</v>
      </c>
      <c r="F38" s="106" t="s">
        <v>305</v>
      </c>
      <c r="G38" s="106" t="s">
        <v>305</v>
      </c>
      <c r="H38" s="103" t="s">
        <v>306</v>
      </c>
      <c r="I38" s="103" t="s">
        <v>306</v>
      </c>
      <c r="K38" s="359" t="s">
        <v>307</v>
      </c>
      <c r="L38" s="111">
        <f>H42/E42</f>
        <v>2.299854866008463</v>
      </c>
      <c r="O38" s="447" t="s">
        <v>323</v>
      </c>
      <c r="P38" s="447"/>
    </row>
    <row r="39" spans="4:19" ht="19.5" customHeight="1">
      <c r="D39" s="359" t="s">
        <v>324</v>
      </c>
      <c r="E39" s="112">
        <v>0.46160000000000001</v>
      </c>
      <c r="F39" s="112">
        <v>2.2139000000000002</v>
      </c>
      <c r="G39" s="112">
        <v>0.74009999999999998</v>
      </c>
      <c r="H39" s="111">
        <f>E39*F39</f>
        <v>1.0219362400000001</v>
      </c>
      <c r="I39" s="111">
        <f>E39*G39</f>
        <v>0.34163016000000002</v>
      </c>
      <c r="K39" s="359" t="s">
        <v>309</v>
      </c>
      <c r="L39" s="111">
        <f>ROUND(I42/E42,4)</f>
        <v>0.77170000000000005</v>
      </c>
      <c r="O39" s="447"/>
      <c r="P39" s="447"/>
      <c r="Q39" s="15" t="s">
        <v>119</v>
      </c>
      <c r="R39" s="113">
        <f>E9</f>
        <v>6.9000000000000006E-2</v>
      </c>
      <c r="S39" s="89" t="s">
        <v>325</v>
      </c>
    </row>
    <row r="40" spans="4:19" ht="19.5" customHeight="1">
      <c r="D40" s="359" t="s">
        <v>326</v>
      </c>
      <c r="E40" s="112">
        <v>0.1</v>
      </c>
      <c r="F40" s="112">
        <v>2.65</v>
      </c>
      <c r="G40" s="112">
        <v>0.92</v>
      </c>
      <c r="H40" s="111">
        <f>E40*F40</f>
        <v>0.26500000000000001</v>
      </c>
      <c r="I40" s="111">
        <f>E40*G40</f>
        <v>9.2000000000000012E-2</v>
      </c>
      <c r="K40" s="115"/>
      <c r="L40" s="355"/>
      <c r="P40" s="15"/>
      <c r="Q40" s="15" t="s">
        <v>300</v>
      </c>
      <c r="R40" s="116">
        <f>L6</f>
        <v>0.20480869565217388</v>
      </c>
      <c r="S40" s="89" t="s">
        <v>327</v>
      </c>
    </row>
    <row r="41" spans="4:19" ht="19.5" customHeight="1">
      <c r="D41" s="359" t="s">
        <v>328</v>
      </c>
      <c r="E41" s="112">
        <v>5.5999999999999999E-3</v>
      </c>
      <c r="F41" s="112">
        <v>3.1324000000000001</v>
      </c>
      <c r="G41" s="112">
        <v>0.7288</v>
      </c>
      <c r="H41" s="111">
        <f>E41*F41</f>
        <v>1.7541440000000002E-2</v>
      </c>
      <c r="I41" s="111">
        <f>E41*G41</f>
        <v>4.0812799999999996E-3</v>
      </c>
      <c r="P41" s="15"/>
      <c r="Q41" s="15" t="s">
        <v>301</v>
      </c>
      <c r="R41" s="116">
        <f>L7</f>
        <v>1.101</v>
      </c>
      <c r="S41" s="89" t="s">
        <v>329</v>
      </c>
    </row>
    <row r="42" spans="4:19" ht="19.5" customHeight="1">
      <c r="E42" s="114">
        <f>SUM(E39:E41)</f>
        <v>0.56720000000000004</v>
      </c>
      <c r="H42" s="114">
        <f>SUM(H39:H41)</f>
        <v>1.3044776800000002</v>
      </c>
      <c r="I42" s="114">
        <f>SUM(I39:I41)</f>
        <v>0.43771144000000006</v>
      </c>
      <c r="P42" s="15" t="s">
        <v>330</v>
      </c>
      <c r="Q42" s="15" t="s">
        <v>119</v>
      </c>
      <c r="R42" s="1">
        <v>1.2030000000000001</v>
      </c>
    </row>
    <row r="43" spans="4:19" ht="15" customHeight="1">
      <c r="P43" s="15"/>
      <c r="Q43" s="15" t="s">
        <v>300</v>
      </c>
      <c r="R43" s="1">
        <v>0.86790310889443101</v>
      </c>
    </row>
    <row r="44" spans="4:19" ht="15" customHeight="1">
      <c r="P44" s="15"/>
      <c r="Q44" s="15" t="s">
        <v>301</v>
      </c>
      <c r="R44" s="1">
        <v>0.92779999999999996</v>
      </c>
    </row>
    <row r="45" spans="4:19" ht="15" customHeight="1">
      <c r="P45" s="15" t="s">
        <v>331</v>
      </c>
      <c r="Q45" s="15" t="s">
        <v>119</v>
      </c>
      <c r="R45" s="114">
        <f>SUM(R38:R44)</f>
        <v>4.373511804546605</v>
      </c>
    </row>
    <row r="46" spans="4:19" ht="15" customHeight="1">
      <c r="D46" s="448" t="s">
        <v>332</v>
      </c>
      <c r="E46" s="448"/>
      <c r="F46" s="448"/>
      <c r="G46" s="448"/>
      <c r="H46" s="448"/>
      <c r="I46" s="448"/>
      <c r="P46" s="15"/>
      <c r="Q46" s="15" t="s">
        <v>300</v>
      </c>
      <c r="R46" s="1">
        <v>2.9221472402202</v>
      </c>
    </row>
    <row r="47" spans="4:19" ht="15" customHeight="1">
      <c r="D47" s="449" t="s">
        <v>299</v>
      </c>
      <c r="E47" s="110" t="s">
        <v>99</v>
      </c>
      <c r="F47" s="359" t="s">
        <v>300</v>
      </c>
      <c r="G47" s="359" t="s">
        <v>301</v>
      </c>
      <c r="H47" s="359" t="s">
        <v>302</v>
      </c>
      <c r="I47" s="359" t="s">
        <v>303</v>
      </c>
      <c r="K47" s="359" t="s">
        <v>307</v>
      </c>
      <c r="L47" s="111">
        <f>H52/E52</f>
        <v>5.6362017348203217</v>
      </c>
      <c r="P47" s="15"/>
      <c r="Q47" s="15" t="s">
        <v>301</v>
      </c>
      <c r="R47" s="1">
        <v>1.1257999999999999</v>
      </c>
    </row>
    <row r="48" spans="4:19" ht="15" customHeight="1">
      <c r="D48" s="449"/>
      <c r="E48" s="106" t="s">
        <v>304</v>
      </c>
      <c r="F48" s="106" t="s">
        <v>305</v>
      </c>
      <c r="G48" s="106" t="s">
        <v>305</v>
      </c>
      <c r="H48" s="103" t="s">
        <v>306</v>
      </c>
      <c r="I48" s="103" t="s">
        <v>306</v>
      </c>
      <c r="K48" s="359" t="s">
        <v>309</v>
      </c>
      <c r="L48" s="111">
        <f>ROUND(I52/E52,4)</f>
        <v>1.3402000000000001</v>
      </c>
      <c r="P48" s="15" t="s">
        <v>333</v>
      </c>
      <c r="Q48" s="15" t="s">
        <v>119</v>
      </c>
      <c r="R48" s="1">
        <v>0.56720000000000004</v>
      </c>
    </row>
    <row r="49" spans="4:18" ht="30" customHeight="1">
      <c r="D49" s="365" t="s">
        <v>334</v>
      </c>
      <c r="E49" s="112">
        <v>6.2899999999999998E-2</v>
      </c>
      <c r="F49" s="112">
        <v>5.5736999999999997</v>
      </c>
      <c r="G49" s="112">
        <v>1.3859999999999999</v>
      </c>
      <c r="H49" s="111">
        <f>E49*F49</f>
        <v>0.35058572999999998</v>
      </c>
      <c r="I49" s="111">
        <f>E49*G49</f>
        <v>8.717939999999999E-2</v>
      </c>
      <c r="P49" s="15"/>
      <c r="Q49" s="15" t="s">
        <v>300</v>
      </c>
      <c r="R49" s="1">
        <v>2.2998548660084599</v>
      </c>
    </row>
    <row r="50" spans="4:18" ht="15" customHeight="1">
      <c r="D50" s="359" t="s">
        <v>335</v>
      </c>
      <c r="E50" s="112">
        <v>1.5699999999999999E-2</v>
      </c>
      <c r="F50" s="112">
        <v>5.8361000000000001</v>
      </c>
      <c r="G50" s="112">
        <v>1.1787000000000001</v>
      </c>
      <c r="H50" s="111">
        <f>E50*F50</f>
        <v>9.1626769999999996E-2</v>
      </c>
      <c r="I50" s="111">
        <f>E50*G50</f>
        <v>1.8505589999999999E-2</v>
      </c>
      <c r="P50" s="15"/>
      <c r="Q50" s="15" t="s">
        <v>301</v>
      </c>
      <c r="R50" s="1">
        <v>0.77170000000000005</v>
      </c>
    </row>
    <row r="51" spans="4:18" ht="15" customHeight="1">
      <c r="D51" s="359" t="s">
        <v>328</v>
      </c>
      <c r="E51" s="112">
        <v>2.0999999999999999E-3</v>
      </c>
      <c r="F51" s="112">
        <v>6.0137999999999998</v>
      </c>
      <c r="G51" s="112">
        <v>1.1744000000000001</v>
      </c>
      <c r="H51" s="111">
        <f>E51*F51</f>
        <v>1.2628979999999998E-2</v>
      </c>
      <c r="I51" s="111">
        <f>E51*G51</f>
        <v>2.4662400000000002E-3</v>
      </c>
      <c r="P51" s="15" t="s">
        <v>336</v>
      </c>
      <c r="Q51" s="15" t="s">
        <v>119</v>
      </c>
      <c r="R51" s="1">
        <v>8.0699999999999994E-2</v>
      </c>
    </row>
    <row r="52" spans="4:18" ht="15" customHeight="1">
      <c r="E52" s="114">
        <f>SUM(E49:E51)</f>
        <v>8.0700000000000008E-2</v>
      </c>
      <c r="H52" s="114">
        <f>SUM(H49:H51)</f>
        <v>0.45484148000000002</v>
      </c>
      <c r="I52" s="114">
        <f>SUM(I49:I51)</f>
        <v>0.10815122999999999</v>
      </c>
      <c r="P52" s="15"/>
      <c r="Q52" s="15" t="s">
        <v>300</v>
      </c>
      <c r="R52" s="1">
        <v>5.6362017348203199</v>
      </c>
    </row>
    <row r="53" spans="4:18" ht="15" customHeight="1">
      <c r="P53" s="15"/>
      <c r="Q53" s="15" t="s">
        <v>301</v>
      </c>
      <c r="R53" s="1">
        <v>1.3402000000000001</v>
      </c>
    </row>
    <row r="54" spans="4:18" ht="15" customHeight="1">
      <c r="P54" s="15" t="s">
        <v>337</v>
      </c>
      <c r="Q54" s="15" t="s">
        <v>119</v>
      </c>
      <c r="R54" s="1">
        <v>1.3230999999999999</v>
      </c>
    </row>
    <row r="55" spans="4:18" ht="15" customHeight="1">
      <c r="D55" s="448" t="s">
        <v>338</v>
      </c>
      <c r="E55" s="448"/>
      <c r="F55" s="448"/>
      <c r="G55" s="448"/>
      <c r="H55" s="448"/>
      <c r="I55" s="448"/>
      <c r="P55" s="15"/>
      <c r="Q55" s="15" t="s">
        <v>300</v>
      </c>
      <c r="R55" s="1">
        <v>5.8145226286750802</v>
      </c>
    </row>
    <row r="56" spans="4:18" ht="15" customHeight="1">
      <c r="D56" s="449" t="s">
        <v>299</v>
      </c>
      <c r="E56" s="110" t="s">
        <v>99</v>
      </c>
      <c r="F56" s="359" t="s">
        <v>300</v>
      </c>
      <c r="G56" s="359" t="s">
        <v>301</v>
      </c>
      <c r="H56" s="359" t="s">
        <v>302</v>
      </c>
      <c r="I56" s="359" t="s">
        <v>303</v>
      </c>
      <c r="K56" s="359" t="s">
        <v>307</v>
      </c>
      <c r="L56" s="111">
        <f>H61/E61</f>
        <v>5.8145226286750811</v>
      </c>
      <c r="P56" s="15"/>
      <c r="Q56" s="15" t="s">
        <v>301</v>
      </c>
      <c r="R56" s="1">
        <v>1.6942999999999999</v>
      </c>
    </row>
    <row r="57" spans="4:18" ht="15" customHeight="1">
      <c r="D57" s="449"/>
      <c r="E57" s="106" t="s">
        <v>304</v>
      </c>
      <c r="F57" s="106" t="s">
        <v>305</v>
      </c>
      <c r="G57" s="106" t="s">
        <v>305</v>
      </c>
      <c r="H57" s="103" t="s">
        <v>306</v>
      </c>
      <c r="I57" s="103" t="s">
        <v>306</v>
      </c>
      <c r="K57" s="359" t="s">
        <v>309</v>
      </c>
      <c r="L57" s="111">
        <f>ROUND(I61/E61,4)</f>
        <v>1.6942999999999999</v>
      </c>
      <c r="P57" s="15" t="s">
        <v>339</v>
      </c>
      <c r="Q57" s="15" t="s">
        <v>119</v>
      </c>
      <c r="R57" s="1">
        <v>0.2278</v>
      </c>
    </row>
    <row r="58" spans="4:18" ht="15" customHeight="1">
      <c r="D58" s="359" t="s">
        <v>338</v>
      </c>
      <c r="E58" s="112">
        <v>1.0064</v>
      </c>
      <c r="F58" s="112">
        <v>5.7416999999999998</v>
      </c>
      <c r="G58" s="112">
        <v>1.7092000000000001</v>
      </c>
      <c r="H58" s="111">
        <f>E58*F58</f>
        <v>5.7784468799999997</v>
      </c>
      <c r="I58" s="111">
        <f>E58*G58</f>
        <v>1.7201388799999999</v>
      </c>
      <c r="P58" s="15"/>
      <c r="Q58" s="15" t="s">
        <v>300</v>
      </c>
      <c r="R58" s="1">
        <v>1.42312800702371</v>
      </c>
    </row>
    <row r="59" spans="4:18" ht="15" customHeight="1">
      <c r="D59" s="359" t="s">
        <v>340</v>
      </c>
      <c r="E59" s="112">
        <v>0.2979</v>
      </c>
      <c r="F59" s="112">
        <v>6.0387000000000004</v>
      </c>
      <c r="G59" s="112">
        <v>1.6568000000000001</v>
      </c>
      <c r="H59" s="111">
        <f>E59*F59</f>
        <v>1.7989287300000001</v>
      </c>
      <c r="I59" s="111">
        <f>E59*G59</f>
        <v>0.49356072000000001</v>
      </c>
      <c r="P59" s="15"/>
      <c r="Q59" s="15" t="s">
        <v>301</v>
      </c>
      <c r="R59" s="1">
        <v>0.22389999999999999</v>
      </c>
    </row>
    <row r="60" spans="4:18" ht="15" customHeight="1">
      <c r="D60" s="359" t="s">
        <v>264</v>
      </c>
      <c r="E60" s="112">
        <v>1.8800000000000001E-2</v>
      </c>
      <c r="F60" s="112">
        <v>6.1605999999999996</v>
      </c>
      <c r="G60" s="112">
        <v>1.4915</v>
      </c>
      <c r="H60" s="111">
        <f>E60*F60</f>
        <v>0.11581928</v>
      </c>
      <c r="I60" s="111">
        <f>E60*G60</f>
        <v>2.8040200000000001E-2</v>
      </c>
    </row>
    <row r="61" spans="4:18" ht="15" customHeight="1">
      <c r="E61" s="114">
        <f>SUM(E58:E60)</f>
        <v>1.3230999999999999</v>
      </c>
      <c r="H61" s="114">
        <f>SUM(H58:H60)</f>
        <v>7.69319489</v>
      </c>
      <c r="I61" s="114">
        <f>SUM(I58:I60)</f>
        <v>2.2417397999999999</v>
      </c>
    </row>
    <row r="64" spans="4:18" ht="15" customHeight="1">
      <c r="D64" s="448" t="s">
        <v>339</v>
      </c>
      <c r="E64" s="448"/>
      <c r="F64" s="448"/>
      <c r="G64" s="448"/>
      <c r="H64" s="448"/>
      <c r="I64" s="448"/>
    </row>
    <row r="65" spans="4:12" ht="15" customHeight="1">
      <c r="D65" s="449" t="s">
        <v>299</v>
      </c>
      <c r="E65" s="110" t="s">
        <v>99</v>
      </c>
      <c r="F65" s="359" t="s">
        <v>300</v>
      </c>
      <c r="G65" s="359" t="s">
        <v>301</v>
      </c>
      <c r="H65" s="359" t="s">
        <v>302</v>
      </c>
      <c r="I65" s="359" t="s">
        <v>303</v>
      </c>
      <c r="K65" s="359" t="s">
        <v>307</v>
      </c>
      <c r="L65" s="111">
        <f>H70/E70</f>
        <v>1.4231280070237051</v>
      </c>
    </row>
    <row r="66" spans="4:12" ht="15" customHeight="1">
      <c r="D66" s="449"/>
      <c r="E66" s="106" t="s">
        <v>304</v>
      </c>
      <c r="F66" s="106" t="s">
        <v>305</v>
      </c>
      <c r="G66" s="106" t="s">
        <v>305</v>
      </c>
      <c r="H66" s="103" t="s">
        <v>306</v>
      </c>
      <c r="I66" s="103" t="s">
        <v>306</v>
      </c>
      <c r="K66" s="359" t="s">
        <v>309</v>
      </c>
      <c r="L66" s="111">
        <f>ROUND(I70/E70,4)</f>
        <v>0.22389999999999999</v>
      </c>
    </row>
    <row r="67" spans="4:12" ht="15" customHeight="1">
      <c r="D67" s="359" t="s">
        <v>341</v>
      </c>
      <c r="E67" s="112">
        <v>0.1188</v>
      </c>
      <c r="F67" s="112">
        <v>0.61070000000000002</v>
      </c>
      <c r="G67" s="112">
        <v>0.23499999999999999</v>
      </c>
      <c r="H67" s="111">
        <f>E67*F67</f>
        <v>7.2551160000000003E-2</v>
      </c>
      <c r="I67" s="111">
        <f>E67*G67</f>
        <v>2.7917999999999998E-2</v>
      </c>
    </row>
    <row r="68" spans="4:12" ht="15" customHeight="1">
      <c r="D68" s="359" t="s">
        <v>342</v>
      </c>
      <c r="E68" s="112">
        <v>0.109</v>
      </c>
      <c r="F68" s="112">
        <v>2.3086000000000002</v>
      </c>
      <c r="G68" s="112">
        <v>0.21179999999999999</v>
      </c>
      <c r="H68" s="111">
        <f>E68*F68</f>
        <v>0.25163740000000001</v>
      </c>
      <c r="I68" s="111">
        <f>E68*G68</f>
        <v>2.3086199999999998E-2</v>
      </c>
    </row>
    <row r="69" spans="4:12" ht="15" customHeight="1">
      <c r="D69" s="359"/>
      <c r="E69" s="112"/>
      <c r="F69" s="112"/>
      <c r="G69" s="112"/>
      <c r="H69" s="111"/>
      <c r="I69" s="111"/>
    </row>
    <row r="70" spans="4:12" ht="15" customHeight="1">
      <c r="E70" s="114">
        <f>SUM(E67:E69)</f>
        <v>0.2278</v>
      </c>
      <c r="H70" s="114">
        <f>SUM(H67:H69)</f>
        <v>0.32418856000000001</v>
      </c>
      <c r="I70" s="114">
        <f>SUM(I67:I69)</f>
        <v>5.10042E-2</v>
      </c>
    </row>
  </sheetData>
  <mergeCells count="15">
    <mergeCell ref="D55:I55"/>
    <mergeCell ref="D56:D57"/>
    <mergeCell ref="D64:I64"/>
    <mergeCell ref="D65:D66"/>
    <mergeCell ref="D23:D24"/>
    <mergeCell ref="D36:I36"/>
    <mergeCell ref="D37:D38"/>
    <mergeCell ref="D46:I46"/>
    <mergeCell ref="D47:D48"/>
    <mergeCell ref="O38:P39"/>
    <mergeCell ref="D4:I4"/>
    <mergeCell ref="D5:D6"/>
    <mergeCell ref="D13:I13"/>
    <mergeCell ref="D14:D15"/>
    <mergeCell ref="D22:I22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7:AK94"/>
  <sheetViews>
    <sheetView topLeftCell="B66" zoomScale="85" zoomScaleNormal="85" workbookViewId="0">
      <selection activeCell="AB80" sqref="AB80"/>
    </sheetView>
  </sheetViews>
  <sheetFormatPr defaultColWidth="8.85546875" defaultRowHeight="15"/>
  <cols>
    <col min="5" max="5" width="3.85546875" style="1" customWidth="1"/>
    <col min="6" max="6" width="3.28515625" style="1" customWidth="1"/>
    <col min="7" max="7" width="15.7109375" style="1" customWidth="1"/>
    <col min="10" max="10" width="9.42578125" style="1" customWidth="1"/>
    <col min="23" max="23" width="9.140625" style="1" customWidth="1"/>
    <col min="24" max="24" width="13.42578125" style="1" customWidth="1"/>
  </cols>
  <sheetData>
    <row r="7" spans="7:15" ht="15" customHeight="1">
      <c r="G7" s="450" t="s">
        <v>343</v>
      </c>
      <c r="H7" s="450"/>
      <c r="I7" s="450"/>
      <c r="J7" s="450"/>
      <c r="K7" s="450"/>
      <c r="L7" s="450"/>
      <c r="N7" s="359" t="s">
        <v>307</v>
      </c>
      <c r="O7" s="111">
        <f>K12/H12</f>
        <v>3.3070627548708655</v>
      </c>
    </row>
    <row r="8" spans="7:15" ht="15" customHeight="1">
      <c r="G8" s="451" t="s">
        <v>299</v>
      </c>
      <c r="H8" s="117" t="s">
        <v>99</v>
      </c>
      <c r="I8" s="359" t="s">
        <v>300</v>
      </c>
      <c r="J8" s="359" t="s">
        <v>301</v>
      </c>
      <c r="K8" s="359" t="s">
        <v>302</v>
      </c>
      <c r="L8" s="359" t="s">
        <v>303</v>
      </c>
      <c r="N8" s="359" t="s">
        <v>309</v>
      </c>
      <c r="O8" s="111">
        <f>ROUND(L12/H12,4)</f>
        <v>1.141</v>
      </c>
    </row>
    <row r="9" spans="7:15" ht="15" customHeight="1">
      <c r="G9" s="451"/>
      <c r="H9" s="118" t="s">
        <v>304</v>
      </c>
      <c r="I9" s="106" t="s">
        <v>305</v>
      </c>
      <c r="J9" s="106" t="s">
        <v>305</v>
      </c>
      <c r="K9" s="103" t="s">
        <v>306</v>
      </c>
      <c r="L9" s="103" t="s">
        <v>306</v>
      </c>
    </row>
    <row r="10" spans="7:15" ht="15" customHeight="1">
      <c r="G10" s="360" t="s">
        <v>344</v>
      </c>
      <c r="H10" s="119">
        <f>'ACT 6'!E25</f>
        <v>3.2502</v>
      </c>
      <c r="I10" s="112">
        <f>'ACT 6'!F25</f>
        <v>3.1208</v>
      </c>
      <c r="J10" s="112">
        <f>'ACT 6'!G25</f>
        <v>1.1104000000000001</v>
      </c>
      <c r="K10" s="111">
        <v>11.0143</v>
      </c>
      <c r="L10" s="111">
        <v>3.6145999999999998</v>
      </c>
    </row>
    <row r="11" spans="7:15" ht="15" customHeight="1">
      <c r="G11" s="360" t="s">
        <v>316</v>
      </c>
      <c r="H11" s="119">
        <f>'ACT 6'!E26</f>
        <v>0.28100000000000003</v>
      </c>
      <c r="I11" s="112">
        <f>'ACT 6'!F26</f>
        <v>2.379</v>
      </c>
      <c r="J11" s="112">
        <f>'ACT 6'!G26</f>
        <v>1.3902000000000001</v>
      </c>
      <c r="K11" s="111">
        <v>0.66359999999999997</v>
      </c>
      <c r="L11" s="111">
        <v>0.41439999999999999</v>
      </c>
    </row>
    <row r="12" spans="7:15" ht="18.75" customHeight="1">
      <c r="G12" s="120" t="s">
        <v>345</v>
      </c>
      <c r="H12" s="121">
        <f>SUM(H10:H11)</f>
        <v>3.5312000000000001</v>
      </c>
      <c r="K12" s="114">
        <f>SUM(K10:K11)</f>
        <v>11.677900000000001</v>
      </c>
      <c r="L12" s="114">
        <f>SUM(L10:L11)</f>
        <v>4.0289999999999999</v>
      </c>
    </row>
    <row r="15" spans="7:15" ht="15" customHeight="1">
      <c r="G15" s="450" t="s">
        <v>346</v>
      </c>
      <c r="H15" s="450"/>
      <c r="I15" s="450"/>
      <c r="J15" s="450"/>
      <c r="K15" s="450"/>
      <c r="L15" s="450"/>
      <c r="N15" s="359" t="s">
        <v>307</v>
      </c>
      <c r="O15" s="111">
        <f>K20/H20</f>
        <v>5.4724373227018317</v>
      </c>
    </row>
    <row r="16" spans="7:15" ht="15" customHeight="1">
      <c r="G16" s="451" t="s">
        <v>299</v>
      </c>
      <c r="H16" s="117" t="s">
        <v>99</v>
      </c>
      <c r="I16" s="359" t="s">
        <v>300</v>
      </c>
      <c r="J16" s="359" t="s">
        <v>301</v>
      </c>
      <c r="K16" s="359" t="s">
        <v>302</v>
      </c>
      <c r="L16" s="359" t="s">
        <v>303</v>
      </c>
      <c r="N16" s="359" t="s">
        <v>309</v>
      </c>
      <c r="O16" s="111">
        <f>ROUND(L20/H20,4)</f>
        <v>1.5528999999999999</v>
      </c>
    </row>
    <row r="17" spans="7:37" ht="15" customHeight="1">
      <c r="G17" s="451"/>
      <c r="H17" s="118" t="s">
        <v>304</v>
      </c>
      <c r="I17" s="106" t="s">
        <v>305</v>
      </c>
      <c r="J17" s="106" t="s">
        <v>305</v>
      </c>
      <c r="K17" s="103" t="s">
        <v>306</v>
      </c>
      <c r="L17" s="103" t="s">
        <v>306</v>
      </c>
    </row>
    <row r="18" spans="7:37" ht="60" customHeight="1">
      <c r="G18" s="122" t="s">
        <v>347</v>
      </c>
      <c r="H18" s="119">
        <f>'ACT 6'!E58</f>
        <v>1.0064</v>
      </c>
      <c r="I18" s="112">
        <f>'ACT 6'!F58</f>
        <v>5.7416999999999998</v>
      </c>
      <c r="J18" s="112">
        <f>'ACT 6'!G58</f>
        <v>1.7092000000000001</v>
      </c>
      <c r="K18" s="111">
        <v>5.3388</v>
      </c>
      <c r="L18" s="111">
        <v>1.5318000000000001</v>
      </c>
    </row>
    <row r="19" spans="7:37" ht="15" customHeight="1">
      <c r="G19" s="360" t="s">
        <v>348</v>
      </c>
      <c r="H19" s="119">
        <f>'ACT 6'!E59</f>
        <v>0.2979</v>
      </c>
      <c r="I19" s="112">
        <f>'ACT 6'!F59</f>
        <v>6.0387000000000004</v>
      </c>
      <c r="J19" s="112">
        <f>'ACT 6'!G59</f>
        <v>1.6568000000000001</v>
      </c>
      <c r="K19" s="111">
        <v>1.7988999999999999</v>
      </c>
      <c r="L19" s="111">
        <v>0.49359999999999998</v>
      </c>
    </row>
    <row r="20" spans="7:37" ht="18.75" customHeight="1">
      <c r="G20" s="120" t="s">
        <v>345</v>
      </c>
      <c r="H20" s="121">
        <f>SUM(H18:H19)</f>
        <v>1.3043</v>
      </c>
      <c r="K20" s="114">
        <f>SUM(K18:K19)</f>
        <v>7.1376999999999997</v>
      </c>
      <c r="L20" s="114">
        <f>SUM(L18:L19)</f>
        <v>2.0253999999999999</v>
      </c>
    </row>
    <row r="23" spans="7:37" ht="15" customHeight="1">
      <c r="G23" s="450" t="s">
        <v>349</v>
      </c>
      <c r="H23" s="450"/>
      <c r="I23" s="450"/>
      <c r="J23" s="450"/>
      <c r="K23" s="450"/>
      <c r="L23" s="450"/>
      <c r="N23" s="359" t="s">
        <v>307</v>
      </c>
      <c r="O23" s="111">
        <f>K28/H28</f>
        <v>6.1564885496183201</v>
      </c>
    </row>
    <row r="24" spans="7:37" ht="15" customHeight="1">
      <c r="G24" s="451" t="s">
        <v>299</v>
      </c>
      <c r="H24" s="117" t="s">
        <v>99</v>
      </c>
      <c r="I24" s="359" t="s">
        <v>300</v>
      </c>
      <c r="J24" s="359" t="s">
        <v>301</v>
      </c>
      <c r="K24" s="359" t="s">
        <v>302</v>
      </c>
      <c r="L24" s="359" t="s">
        <v>303</v>
      </c>
      <c r="N24" s="359" t="s">
        <v>309</v>
      </c>
      <c r="O24" s="111">
        <f>ROUND(L28/H28,4)</f>
        <v>1.1005</v>
      </c>
      <c r="AG24" s="15" t="s">
        <v>350</v>
      </c>
      <c r="AH24" s="15" t="s">
        <v>351</v>
      </c>
      <c r="AI24" s="123" t="s">
        <v>59</v>
      </c>
      <c r="AK24" s="1">
        <v>500.27272727272702</v>
      </c>
    </row>
    <row r="25" spans="7:37" ht="15" customHeight="1">
      <c r="G25" s="451"/>
      <c r="H25" s="118" t="s">
        <v>304</v>
      </c>
      <c r="I25" s="106" t="s">
        <v>305</v>
      </c>
      <c r="J25" s="106" t="s">
        <v>305</v>
      </c>
      <c r="K25" s="103" t="s">
        <v>306</v>
      </c>
      <c r="L25" s="103" t="s">
        <v>306</v>
      </c>
      <c r="AG25" s="15"/>
      <c r="AH25" s="15" t="s">
        <v>352</v>
      </c>
      <c r="AI25" s="123" t="s">
        <v>305</v>
      </c>
      <c r="AK25" s="1">
        <v>2.0241759040523402</v>
      </c>
    </row>
    <row r="26" spans="7:37" ht="29.25" customHeight="1">
      <c r="G26" s="122" t="s">
        <v>353</v>
      </c>
      <c r="H26" s="119">
        <f>'ACT 6'!E49</f>
        <v>6.2899999999999998E-2</v>
      </c>
      <c r="I26" s="112">
        <f>'ACT 6'!F49</f>
        <v>5.5736999999999997</v>
      </c>
      <c r="J26" s="112">
        <f>'ACT 6'!G49</f>
        <v>1.3859999999999999</v>
      </c>
      <c r="K26" s="111">
        <v>0.34560000000000002</v>
      </c>
      <c r="L26" s="111">
        <v>6.2399999999999997E-2</v>
      </c>
      <c r="AG26" s="15"/>
      <c r="AH26" s="15" t="s">
        <v>354</v>
      </c>
      <c r="AI26" s="123" t="s">
        <v>305</v>
      </c>
      <c r="AK26" s="1">
        <v>0.94430000000000003</v>
      </c>
    </row>
    <row r="27" spans="7:37" ht="15" customHeight="1">
      <c r="G27" s="360" t="s">
        <v>335</v>
      </c>
      <c r="H27" s="119">
        <f>'ACT 6'!E50</f>
        <v>1.5699999999999999E-2</v>
      </c>
      <c r="I27" s="112">
        <f>'ACT 6'!F50</f>
        <v>5.8361000000000001</v>
      </c>
      <c r="J27" s="112">
        <f>'ACT 6'!G50</f>
        <v>1.1787000000000001</v>
      </c>
      <c r="K27" s="111">
        <v>0.13830000000000001</v>
      </c>
      <c r="L27" s="111">
        <v>2.41E-2</v>
      </c>
      <c r="AG27" s="15" t="s">
        <v>355</v>
      </c>
      <c r="AH27" s="15" t="s">
        <v>351</v>
      </c>
      <c r="AI27" s="123" t="s">
        <v>59</v>
      </c>
      <c r="AK27" s="1">
        <v>77.099999999999994</v>
      </c>
    </row>
    <row r="28" spans="7:37" ht="18.75" customHeight="1">
      <c r="G28" s="120" t="s">
        <v>345</v>
      </c>
      <c r="H28" s="121">
        <f>SUM(H26:H27)</f>
        <v>7.8600000000000003E-2</v>
      </c>
      <c r="K28" s="114">
        <f>SUM(K26:K27)</f>
        <v>0.4839</v>
      </c>
      <c r="L28" s="114">
        <f>SUM(L26:L27)</f>
        <v>8.6499999999999994E-2</v>
      </c>
      <c r="AG28" s="15"/>
      <c r="AH28" s="15" t="s">
        <v>352</v>
      </c>
      <c r="AI28" s="123" t="s">
        <v>305</v>
      </c>
      <c r="AK28" s="1">
        <v>2.1240000000000001</v>
      </c>
    </row>
    <row r="29" spans="7:37" ht="15" customHeight="1">
      <c r="AG29" s="15"/>
      <c r="AH29" s="15" t="s">
        <v>354</v>
      </c>
      <c r="AI29" s="123" t="s">
        <v>305</v>
      </c>
      <c r="AK29" s="1">
        <v>1.0736000000000001</v>
      </c>
    </row>
    <row r="30" spans="7:37" ht="15" customHeight="1">
      <c r="AG30" s="15" t="s">
        <v>356</v>
      </c>
      <c r="AH30" s="15" t="s">
        <v>351</v>
      </c>
      <c r="AI30" s="123" t="s">
        <v>59</v>
      </c>
      <c r="AK30" s="1">
        <v>77.099999999999994</v>
      </c>
    </row>
    <row r="31" spans="7:37" ht="15" customHeight="1">
      <c r="AG31" s="15"/>
      <c r="AH31" s="15" t="s">
        <v>352</v>
      </c>
      <c r="AI31" s="123" t="s">
        <v>305</v>
      </c>
      <c r="AK31" s="1">
        <v>2.1240000000000001</v>
      </c>
    </row>
    <row r="32" spans="7:37" ht="15" customHeight="1">
      <c r="G32" s="450" t="s">
        <v>264</v>
      </c>
      <c r="H32" s="450"/>
      <c r="I32" s="450"/>
      <c r="J32" s="450"/>
      <c r="K32" s="450"/>
      <c r="L32" s="450"/>
      <c r="N32" s="359" t="s">
        <v>307</v>
      </c>
      <c r="O32" s="111">
        <f>K38/H38</f>
        <v>6.6113207547169806</v>
      </c>
      <c r="AG32" s="15"/>
      <c r="AH32" s="15" t="s">
        <v>354</v>
      </c>
      <c r="AI32" s="123" t="s">
        <v>305</v>
      </c>
      <c r="AK32" s="1">
        <v>1.0736000000000001</v>
      </c>
    </row>
    <row r="33" spans="7:37" ht="15" customHeight="1">
      <c r="G33" s="451" t="s">
        <v>299</v>
      </c>
      <c r="H33" s="117" t="s">
        <v>99</v>
      </c>
      <c r="I33" s="359" t="s">
        <v>300</v>
      </c>
      <c r="J33" s="359" t="s">
        <v>301</v>
      </c>
      <c r="K33" s="359" t="s">
        <v>302</v>
      </c>
      <c r="L33" s="359" t="s">
        <v>303</v>
      </c>
      <c r="N33" s="359" t="s">
        <v>309</v>
      </c>
      <c r="O33" s="111">
        <f>ROUND(L38/H38,4)</f>
        <v>1.5849</v>
      </c>
      <c r="AG33" s="15" t="s">
        <v>357</v>
      </c>
      <c r="AH33" s="15" t="s">
        <v>351</v>
      </c>
      <c r="AI33" s="123" t="s">
        <v>59</v>
      </c>
      <c r="AK33" s="1">
        <v>54.42</v>
      </c>
    </row>
    <row r="34" spans="7:37" ht="15" customHeight="1">
      <c r="G34" s="451"/>
      <c r="H34" s="118" t="s">
        <v>304</v>
      </c>
      <c r="I34" s="106" t="s">
        <v>305</v>
      </c>
      <c r="J34" s="106" t="s">
        <v>305</v>
      </c>
      <c r="K34" s="103" t="s">
        <v>306</v>
      </c>
      <c r="L34" s="103" t="s">
        <v>306</v>
      </c>
      <c r="AG34" s="15"/>
      <c r="AH34" s="15" t="s">
        <v>352</v>
      </c>
      <c r="AI34" s="123" t="s">
        <v>305</v>
      </c>
      <c r="AK34" s="1">
        <v>2.54</v>
      </c>
    </row>
    <row r="35" spans="7:37" ht="15" customHeight="1">
      <c r="G35" s="360" t="s">
        <v>358</v>
      </c>
      <c r="H35" s="119">
        <f>'ACT 6'!E41</f>
        <v>5.5999999999999999E-3</v>
      </c>
      <c r="I35" s="112">
        <f>'ACT 6'!F41</f>
        <v>3.1324000000000001</v>
      </c>
      <c r="J35" s="112">
        <f>'ACT 6'!G41</f>
        <v>0.7288</v>
      </c>
      <c r="K35" s="111">
        <v>2.9600000000000001E-2</v>
      </c>
      <c r="L35" s="111">
        <v>8.5000000000000006E-3</v>
      </c>
      <c r="AG35" s="15"/>
      <c r="AH35" s="15" t="s">
        <v>354</v>
      </c>
      <c r="AI35" s="123" t="s">
        <v>305</v>
      </c>
      <c r="AK35" s="1">
        <v>0.87009999999999998</v>
      </c>
    </row>
    <row r="36" spans="7:37" ht="30" customHeight="1">
      <c r="G36" s="122" t="s">
        <v>359</v>
      </c>
      <c r="H36" s="119">
        <f>'ACT 6'!E51</f>
        <v>2.0999999999999999E-3</v>
      </c>
      <c r="I36" s="112">
        <f>'ACT 6'!F50</f>
        <v>5.8361000000000001</v>
      </c>
      <c r="J36" s="112">
        <f>'ACT 6'!G51</f>
        <v>1.1744000000000001</v>
      </c>
      <c r="K36" s="111">
        <v>1.55E-2</v>
      </c>
      <c r="L36" s="111">
        <v>2.5999999999999999E-3</v>
      </c>
      <c r="O36" s="111"/>
      <c r="AG36" s="15" t="s">
        <v>360</v>
      </c>
      <c r="AH36" s="15" t="s">
        <v>351</v>
      </c>
      <c r="AI36" s="123" t="s">
        <v>59</v>
      </c>
      <c r="AK36" s="1">
        <v>36.28</v>
      </c>
    </row>
    <row r="37" spans="7:37" ht="30" customHeight="1">
      <c r="G37" s="122" t="s">
        <v>361</v>
      </c>
      <c r="H37" s="119">
        <f>'ACT 6'!E60</f>
        <v>1.8800000000000001E-2</v>
      </c>
      <c r="I37" s="112">
        <f>'ACT 6'!F60</f>
        <v>6.1605999999999996</v>
      </c>
      <c r="J37" s="112">
        <f>'ACT 6'!G60</f>
        <v>1.4915</v>
      </c>
      <c r="K37" s="111">
        <v>0.13009999999999999</v>
      </c>
      <c r="L37" s="111">
        <v>3.09E-2</v>
      </c>
      <c r="AG37" s="15"/>
      <c r="AH37" s="15" t="s">
        <v>352</v>
      </c>
      <c r="AI37" s="123" t="s">
        <v>305</v>
      </c>
      <c r="AK37" s="1">
        <v>2.54</v>
      </c>
    </row>
    <row r="38" spans="7:37" ht="18.75" customHeight="1">
      <c r="G38" s="120" t="s">
        <v>345</v>
      </c>
      <c r="H38" s="121">
        <f>SUM(H35:H37)</f>
        <v>2.6500000000000003E-2</v>
      </c>
      <c r="K38" s="114">
        <f>SUM(K35:K37)</f>
        <v>0.17519999999999999</v>
      </c>
      <c r="L38" s="114">
        <f>SUM(L35:L37)</f>
        <v>4.2000000000000003E-2</v>
      </c>
      <c r="AG38" s="15"/>
      <c r="AH38" s="15" t="s">
        <v>354</v>
      </c>
      <c r="AI38" s="123" t="s">
        <v>305</v>
      </c>
      <c r="AK38" s="1">
        <v>0.87009999999999998</v>
      </c>
    </row>
    <row r="39" spans="7:37" ht="15" customHeight="1">
      <c r="AG39" s="15" t="s">
        <v>362</v>
      </c>
      <c r="AH39" s="15" t="s">
        <v>351</v>
      </c>
      <c r="AI39" s="123" t="s">
        <v>59</v>
      </c>
      <c r="AK39" s="1">
        <v>71.951576350503998</v>
      </c>
    </row>
    <row r="40" spans="7:37" ht="15" customHeight="1">
      <c r="AG40" s="15"/>
      <c r="AH40" s="15" t="s">
        <v>352</v>
      </c>
      <c r="AI40" s="123" t="s">
        <v>305</v>
      </c>
      <c r="AK40" s="1">
        <v>2.1781999999999999</v>
      </c>
    </row>
    <row r="41" spans="7:37" ht="15" customHeight="1">
      <c r="AG41" s="15"/>
      <c r="AH41" s="15" t="s">
        <v>354</v>
      </c>
      <c r="AI41" s="123" t="s">
        <v>305</v>
      </c>
      <c r="AK41" s="1">
        <v>0.76749999999999996</v>
      </c>
    </row>
    <row r="42" spans="7:37" ht="15" customHeight="1">
      <c r="G42" s="450" t="s">
        <v>363</v>
      </c>
      <c r="H42" s="450"/>
      <c r="I42" s="450"/>
      <c r="J42" s="450"/>
      <c r="K42" s="450"/>
      <c r="L42" s="450"/>
      <c r="N42" s="359" t="s">
        <v>307</v>
      </c>
      <c r="O42" s="111">
        <f>J59/H59</f>
        <v>2.0244996728165048</v>
      </c>
      <c r="AG42" s="15" t="s">
        <v>364</v>
      </c>
      <c r="AH42" s="15" t="s">
        <v>351</v>
      </c>
      <c r="AI42" s="123" t="s">
        <v>59</v>
      </c>
      <c r="AK42" s="1">
        <v>4.8068506954545498</v>
      </c>
    </row>
    <row r="43" spans="7:37" ht="15" customHeight="1">
      <c r="G43" s="449" t="s">
        <v>299</v>
      </c>
      <c r="H43" s="110" t="s">
        <v>365</v>
      </c>
      <c r="I43" s="359" t="s">
        <v>300</v>
      </c>
      <c r="J43" s="359" t="s">
        <v>366</v>
      </c>
      <c r="K43" s="359" t="s">
        <v>301</v>
      </c>
      <c r="L43" s="359" t="s">
        <v>367</v>
      </c>
      <c r="N43" s="359" t="s">
        <v>309</v>
      </c>
      <c r="O43" s="111">
        <f>ROUND(L59/H59,4)</f>
        <v>0.94430000000000003</v>
      </c>
      <c r="AG43" s="15"/>
      <c r="AH43" s="15" t="s">
        <v>352</v>
      </c>
      <c r="AI43" s="123" t="s">
        <v>305</v>
      </c>
      <c r="AK43" s="1">
        <v>0.81599999999999995</v>
      </c>
    </row>
    <row r="44" spans="7:37" ht="15" customHeight="1">
      <c r="G44" s="449"/>
      <c r="H44" s="106" t="s">
        <v>59</v>
      </c>
      <c r="I44" s="106" t="s">
        <v>305</v>
      </c>
      <c r="J44" s="106" t="s">
        <v>368</v>
      </c>
      <c r="K44" s="103" t="s">
        <v>305</v>
      </c>
      <c r="L44" s="103" t="s">
        <v>368</v>
      </c>
      <c r="AG44" s="15"/>
      <c r="AH44" s="15" t="s">
        <v>354</v>
      </c>
      <c r="AI44" s="123" t="s">
        <v>305</v>
      </c>
      <c r="AK44" s="1">
        <v>0.8478</v>
      </c>
    </row>
    <row r="45" spans="7:37" ht="15" customHeight="1">
      <c r="G45" s="122" t="s">
        <v>369</v>
      </c>
      <c r="H45" s="119">
        <f>'ACT 5'!E11</f>
        <v>95.454545454545453</v>
      </c>
      <c r="I45" s="112">
        <v>2.2202999999999999</v>
      </c>
      <c r="J45" s="112">
        <f>H45*I45</f>
        <v>211.93772727272727</v>
      </c>
      <c r="K45" s="111">
        <v>0.81240000000000001</v>
      </c>
      <c r="L45" s="111">
        <f>H45*K45</f>
        <v>77.547272727272727</v>
      </c>
      <c r="AG45" s="15" t="s">
        <v>370</v>
      </c>
      <c r="AH45" s="15" t="s">
        <v>351</v>
      </c>
      <c r="AI45" s="123" t="s">
        <v>59</v>
      </c>
      <c r="AK45" s="1">
        <v>35.975758825497401</v>
      </c>
    </row>
    <row r="46" spans="7:37" ht="45" customHeight="1">
      <c r="G46" s="122" t="s">
        <v>371</v>
      </c>
      <c r="H46" s="119">
        <f>'ACT 5'!E12</f>
        <v>81.818181818181813</v>
      </c>
      <c r="I46" s="112">
        <v>3.1219000000000001</v>
      </c>
      <c r="J46" s="112">
        <f>H46*I46</f>
        <v>255.4281818181818</v>
      </c>
      <c r="K46" s="111">
        <v>1.111</v>
      </c>
      <c r="L46" s="111">
        <f>H46*K46</f>
        <v>90.899999999999991</v>
      </c>
      <c r="AG46" s="15"/>
      <c r="AH46" s="15" t="s">
        <v>352</v>
      </c>
      <c r="AI46" s="123" t="s">
        <v>305</v>
      </c>
      <c r="AK46" s="1">
        <v>2.3972000000000002</v>
      </c>
    </row>
    <row r="47" spans="7:37" ht="45" customHeight="1">
      <c r="G47" s="122" t="s">
        <v>349</v>
      </c>
      <c r="H47" s="119">
        <f>'ACT 5'!E13</f>
        <v>14.999999999999998</v>
      </c>
      <c r="I47" s="112">
        <v>5.5747999999999998</v>
      </c>
      <c r="J47" s="112">
        <f>H47*I47</f>
        <v>83.621999999999986</v>
      </c>
      <c r="K47" s="111">
        <v>1.3859999999999999</v>
      </c>
      <c r="L47" s="111">
        <f>H47*K47</f>
        <v>20.789999999999996</v>
      </c>
      <c r="AG47" s="15"/>
      <c r="AH47" s="15" t="s">
        <v>354</v>
      </c>
      <c r="AI47" s="123" t="s">
        <v>305</v>
      </c>
      <c r="AK47" s="1">
        <v>0.76759999999999995</v>
      </c>
    </row>
    <row r="48" spans="7:37" ht="45" customHeight="1">
      <c r="G48" s="122" t="s">
        <v>346</v>
      </c>
      <c r="H48" s="119">
        <f>'ACT 5'!E14</f>
        <v>14.545454545454545</v>
      </c>
      <c r="I48" s="112">
        <v>5.7337999999999996</v>
      </c>
      <c r="J48" s="112">
        <f>H48*I48</f>
        <v>83.400727272727266</v>
      </c>
      <c r="K48" s="111">
        <f>'ACT 6'!G58</f>
        <v>1.7092000000000001</v>
      </c>
      <c r="L48" s="111">
        <f>H48*K48</f>
        <v>24.861090909090908</v>
      </c>
      <c r="AG48" s="15" t="s">
        <v>372</v>
      </c>
      <c r="AH48" s="15"/>
      <c r="AI48" s="123"/>
    </row>
    <row r="49" spans="7:37" ht="15" customHeight="1">
      <c r="G49" s="122" t="s">
        <v>259</v>
      </c>
      <c r="H49" s="119">
        <f>'ACT 5'!E15</f>
        <v>7.4999999999999991</v>
      </c>
      <c r="I49" s="106">
        <v>0.88839999999999997</v>
      </c>
      <c r="J49" s="112">
        <f>H49*I49</f>
        <v>6.6629999999999994</v>
      </c>
      <c r="K49" s="111">
        <v>0.93310000000000004</v>
      </c>
      <c r="L49" s="111">
        <f>H49*K49</f>
        <v>6.9982499999999996</v>
      </c>
      <c r="AG49" s="15" t="s">
        <v>248</v>
      </c>
      <c r="AH49" s="15" t="s">
        <v>352</v>
      </c>
      <c r="AI49" s="123" t="s">
        <v>305</v>
      </c>
      <c r="AK49" s="1">
        <v>2.2202999999999999</v>
      </c>
    </row>
    <row r="50" spans="7:37" ht="60" customHeight="1">
      <c r="G50" s="122" t="s">
        <v>373</v>
      </c>
      <c r="H50" s="119">
        <f>'ACT 5'!E16</f>
        <v>14.545454545454545</v>
      </c>
      <c r="I50" s="112">
        <v>2.6067</v>
      </c>
      <c r="J50" s="112">
        <f>H50*I50</f>
        <v>37.915636363636359</v>
      </c>
      <c r="K50" s="111">
        <v>0.88190000000000002</v>
      </c>
      <c r="L50" s="111">
        <f>H50*K50</f>
        <v>12.827636363636364</v>
      </c>
      <c r="Q50" s="27">
        <v>2.2589999999999999</v>
      </c>
      <c r="T50" s="1">
        <v>2.4780000000000002</v>
      </c>
      <c r="U50" s="27">
        <f>T50-R51</f>
        <v>2.3972000000000002</v>
      </c>
      <c r="AG50" s="15"/>
      <c r="AH50" s="15" t="s">
        <v>354</v>
      </c>
      <c r="AI50" s="123" t="s">
        <v>305</v>
      </c>
      <c r="AK50" s="1">
        <v>0.81240000000000001</v>
      </c>
    </row>
    <row r="51" spans="7:37" ht="15" customHeight="1">
      <c r="G51" s="122" t="s">
        <v>374</v>
      </c>
      <c r="H51" s="119">
        <f>'ACT 5'!E17</f>
        <v>7.2727272727272725</v>
      </c>
      <c r="I51" s="112">
        <v>5.3448000000000002</v>
      </c>
      <c r="J51" s="112">
        <f>H51*I51</f>
        <v>38.871272727272725</v>
      </c>
      <c r="K51" s="111">
        <v>1.4708000000000001</v>
      </c>
      <c r="L51" s="111">
        <f>H51*K51</f>
        <v>10.696727272727273</v>
      </c>
      <c r="Q51" s="1">
        <v>2.1781999999999999</v>
      </c>
      <c r="R51" s="27">
        <f>Q50-Q51</f>
        <v>8.0799999999999983E-2</v>
      </c>
      <c r="AG51" s="15" t="s">
        <v>251</v>
      </c>
      <c r="AH51" s="15" t="s">
        <v>352</v>
      </c>
      <c r="AI51" s="123" t="s">
        <v>305</v>
      </c>
      <c r="AK51" s="1">
        <v>3.1219000000000001</v>
      </c>
    </row>
    <row r="52" spans="7:37" ht="15" customHeight="1">
      <c r="G52" s="122" t="s">
        <v>375</v>
      </c>
      <c r="H52" s="119">
        <f>'ACT 5'!E19</f>
        <v>42.090909090909086</v>
      </c>
      <c r="I52" s="112">
        <v>1.4810000000000001</v>
      </c>
      <c r="J52" s="112">
        <f>H52*I52</f>
        <v>62.336636363636359</v>
      </c>
      <c r="K52" s="111">
        <v>0.2331</v>
      </c>
      <c r="L52" s="111">
        <f>H52*K52</f>
        <v>9.8113909090909086</v>
      </c>
      <c r="N52" s="1" t="s">
        <v>304</v>
      </c>
      <c r="AG52" s="15"/>
      <c r="AH52" s="15" t="s">
        <v>354</v>
      </c>
      <c r="AI52" s="123" t="s">
        <v>305</v>
      </c>
      <c r="AK52" s="1">
        <v>1.111</v>
      </c>
    </row>
    <row r="53" spans="7:37" ht="30" customHeight="1">
      <c r="G53" s="122" t="s">
        <v>376</v>
      </c>
      <c r="H53" s="119">
        <f>'ACT 5'!E20</f>
        <v>22.27272727272727</v>
      </c>
      <c r="I53" s="112">
        <v>2.1781999999999999</v>
      </c>
      <c r="J53" s="112">
        <f>H53*I53</f>
        <v>48.514454545454534</v>
      </c>
      <c r="K53" s="111">
        <v>0.76749999999999996</v>
      </c>
      <c r="L53" s="111">
        <f>H53*K53</f>
        <v>17.094318181818178</v>
      </c>
      <c r="M53" s="1" t="s">
        <v>119</v>
      </c>
      <c r="N53" s="1">
        <v>6.1499999999999999E-2</v>
      </c>
      <c r="AG53" s="15" t="s">
        <v>253</v>
      </c>
      <c r="AH53" s="15" t="s">
        <v>352</v>
      </c>
      <c r="AI53" s="123" t="s">
        <v>305</v>
      </c>
      <c r="AK53" s="1">
        <v>5.5747999999999998</v>
      </c>
    </row>
    <row r="54" spans="7:37" ht="30" customHeight="1">
      <c r="G54" s="122" t="s">
        <v>274</v>
      </c>
      <c r="H54" s="119">
        <f>'ACT 5'!E22</f>
        <v>15.227272727272727</v>
      </c>
      <c r="I54" s="112">
        <v>1.6168</v>
      </c>
      <c r="J54" s="112">
        <f>H54*I54</f>
        <v>24.619454545454545</v>
      </c>
      <c r="K54" s="111">
        <v>1.1778999999999999</v>
      </c>
      <c r="L54" s="111">
        <f>H54*K54</f>
        <v>17.936204545454544</v>
      </c>
      <c r="P54" s="1">
        <f>H53/2</f>
        <v>11.136363636363635</v>
      </c>
      <c r="S54" s="1">
        <v>35.975758825497401</v>
      </c>
      <c r="AG54" s="15"/>
      <c r="AH54" s="15" t="s">
        <v>354</v>
      </c>
      <c r="AI54" s="123" t="s">
        <v>305</v>
      </c>
      <c r="AK54" s="1">
        <v>1.3859999999999999</v>
      </c>
    </row>
    <row r="55" spans="7:37" ht="45" customHeight="1">
      <c r="G55" s="122" t="s">
        <v>377</v>
      </c>
      <c r="H55" s="119">
        <f>'ACT 5'!E26</f>
        <v>15.454545454545453</v>
      </c>
      <c r="I55" s="112">
        <v>1.262</v>
      </c>
      <c r="J55" s="112">
        <f>H55*I55</f>
        <v>19.503636363636364</v>
      </c>
      <c r="K55" s="111">
        <v>1.1108</v>
      </c>
      <c r="L55" s="111">
        <f>H55*K55</f>
        <v>17.16690909090909</v>
      </c>
      <c r="S55" s="1">
        <v>2.3972000000000002</v>
      </c>
      <c r="AG55" s="15" t="s">
        <v>256</v>
      </c>
      <c r="AH55" s="15" t="s">
        <v>352</v>
      </c>
      <c r="AI55" s="123" t="s">
        <v>305</v>
      </c>
      <c r="AK55" s="1">
        <v>5.7337999999999996</v>
      </c>
    </row>
    <row r="56" spans="7:37" ht="30" customHeight="1">
      <c r="G56" s="122" t="s">
        <v>378</v>
      </c>
      <c r="H56" s="119">
        <f>'ACT 5'!E27</f>
        <v>10.909090909090908</v>
      </c>
      <c r="I56" s="112">
        <v>2.3113000000000001</v>
      </c>
      <c r="J56" s="112">
        <f>H56*I56</f>
        <v>25.214181818181817</v>
      </c>
      <c r="K56" s="111">
        <v>0.92300000000000004</v>
      </c>
      <c r="L56" s="111">
        <f>H56*K56</f>
        <v>10.069090909090908</v>
      </c>
      <c r="S56" s="1">
        <v>0.76759999999999995</v>
      </c>
      <c r="AG56" s="15"/>
      <c r="AH56" s="15" t="s">
        <v>354</v>
      </c>
      <c r="AI56" s="123" t="s">
        <v>305</v>
      </c>
      <c r="AK56" s="1">
        <v>1.7092000000000001</v>
      </c>
    </row>
    <row r="57" spans="7:37" ht="15" customHeight="1">
      <c r="G57" s="122" t="s">
        <v>379</v>
      </c>
      <c r="H57" s="124">
        <f>'ACT 5'!E29</f>
        <v>129.86363636363635</v>
      </c>
      <c r="I57" s="106">
        <v>0.8367</v>
      </c>
      <c r="J57" s="112">
        <f>H57*I57</f>
        <v>108.65690454545452</v>
      </c>
      <c r="K57" s="111">
        <v>0.96279999999999999</v>
      </c>
      <c r="L57" s="111">
        <f>H57*K57</f>
        <v>125.03270909090907</v>
      </c>
      <c r="M57" s="89" t="s">
        <v>380</v>
      </c>
      <c r="AG57" s="15" t="s">
        <v>259</v>
      </c>
      <c r="AH57" s="15" t="s">
        <v>352</v>
      </c>
      <c r="AI57" s="123" t="s">
        <v>305</v>
      </c>
      <c r="AK57" s="1">
        <v>0.88839999999999997</v>
      </c>
    </row>
    <row r="58" spans="7:37" ht="30" customHeight="1">
      <c r="G58" s="122" t="s">
        <v>285</v>
      </c>
      <c r="H58" s="119">
        <f>'ACT 5'!E30</f>
        <v>28.18181818181818</v>
      </c>
      <c r="I58" s="112">
        <v>0.20730000000000001</v>
      </c>
      <c r="J58" s="112">
        <f>H58*I58</f>
        <v>5.842090909090909</v>
      </c>
      <c r="K58" s="111">
        <v>1.0846</v>
      </c>
      <c r="L58" s="111">
        <f>H58*K58</f>
        <v>30.565999999999999</v>
      </c>
      <c r="AG58" s="15"/>
      <c r="AH58" s="15" t="s">
        <v>354</v>
      </c>
      <c r="AI58" s="123" t="s">
        <v>305</v>
      </c>
      <c r="AK58" s="1">
        <v>0.93310000000000004</v>
      </c>
    </row>
    <row r="59" spans="7:37" ht="18.75" customHeight="1">
      <c r="G59" s="120" t="s">
        <v>345</v>
      </c>
      <c r="H59" s="121">
        <f>SUM(H45:H58)</f>
        <v>500.13636363636357</v>
      </c>
      <c r="J59" s="134">
        <f>SUM(J45:J58)</f>
        <v>1012.5259045454545</v>
      </c>
      <c r="L59" s="114">
        <f>SUM(L45:L58)</f>
        <v>472.29759999999987</v>
      </c>
      <c r="V59" s="125"/>
      <c r="W59" s="125" t="s">
        <v>381</v>
      </c>
      <c r="X59" s="125" t="s">
        <v>382</v>
      </c>
      <c r="AG59" s="15" t="s">
        <v>262</v>
      </c>
      <c r="AH59" s="15" t="s">
        <v>352</v>
      </c>
      <c r="AI59" s="123" t="s">
        <v>305</v>
      </c>
      <c r="AK59" s="1">
        <v>2.6067</v>
      </c>
    </row>
    <row r="60" spans="7:37" ht="15" customHeight="1">
      <c r="V60" s="126" t="s">
        <v>383</v>
      </c>
      <c r="W60" s="127">
        <f>O66</f>
        <v>32.467657191956455</v>
      </c>
      <c r="X60" s="128">
        <f>J70</f>
        <v>1564.5145936019371</v>
      </c>
      <c r="Y60" s="126" t="s">
        <v>384</v>
      </c>
      <c r="Z60" s="127">
        <f>W61</f>
        <v>26.606108501698511</v>
      </c>
      <c r="AA60" s="1">
        <v>1162.1556087292699</v>
      </c>
      <c r="AG60" s="15"/>
      <c r="AH60" s="15" t="s">
        <v>354</v>
      </c>
      <c r="AI60" s="123" t="s">
        <v>305</v>
      </c>
      <c r="AK60" s="1">
        <v>0.88190000000000002</v>
      </c>
    </row>
    <row r="61" spans="7:37" ht="15" customHeight="1">
      <c r="V61" s="126" t="s">
        <v>384</v>
      </c>
      <c r="W61" s="127">
        <f>O77</f>
        <v>26.606108501698511</v>
      </c>
      <c r="X61" s="128">
        <f>J79</f>
        <v>1131.2744947129454</v>
      </c>
      <c r="Y61" s="126" t="s">
        <v>385</v>
      </c>
      <c r="Z61" s="127">
        <f>W62</f>
        <v>30.486833771185601</v>
      </c>
      <c r="AA61" s="1">
        <v>1542.2685888328101</v>
      </c>
      <c r="AG61" s="15" t="s">
        <v>264</v>
      </c>
      <c r="AH61" s="15" t="s">
        <v>352</v>
      </c>
      <c r="AI61" s="123" t="s">
        <v>305</v>
      </c>
      <c r="AK61" s="1">
        <v>5.3448000000000002</v>
      </c>
    </row>
    <row r="62" spans="7:37" ht="15" customHeight="1">
      <c r="G62" s="450" t="s">
        <v>386</v>
      </c>
      <c r="H62" s="450"/>
      <c r="I62" s="450"/>
      <c r="J62" s="450"/>
      <c r="K62" s="450"/>
      <c r="L62" s="450"/>
      <c r="N62" s="129" t="s">
        <v>307</v>
      </c>
      <c r="O62" s="111">
        <f>J70/H70</f>
        <v>2.10077495842414</v>
      </c>
      <c r="V62" s="126" t="s">
        <v>385</v>
      </c>
      <c r="W62" s="127">
        <f>O85</f>
        <v>30.486833771185601</v>
      </c>
      <c r="X62" s="128">
        <f>J90</f>
        <v>1591.7658183196133</v>
      </c>
      <c r="Y62" s="126" t="s">
        <v>383</v>
      </c>
      <c r="Z62" s="127">
        <f>W60</f>
        <v>32.467657191956455</v>
      </c>
      <c r="AA62" s="1">
        <v>1421.92962009091</v>
      </c>
      <c r="AG62" s="15"/>
      <c r="AH62" s="15" t="s">
        <v>354</v>
      </c>
      <c r="AI62" s="123" t="s">
        <v>305</v>
      </c>
      <c r="AK62" s="1">
        <v>1.4708000000000001</v>
      </c>
    </row>
    <row r="63" spans="7:37" ht="15" customHeight="1">
      <c r="G63" s="449" t="s">
        <v>299</v>
      </c>
      <c r="H63" s="110" t="s">
        <v>365</v>
      </c>
      <c r="I63" s="359" t="s">
        <v>300</v>
      </c>
      <c r="J63" s="359" t="s">
        <v>366</v>
      </c>
      <c r="K63" s="359" t="s">
        <v>301</v>
      </c>
      <c r="L63" s="359" t="s">
        <v>367</v>
      </c>
      <c r="N63" s="129" t="s">
        <v>309</v>
      </c>
      <c r="O63" s="111">
        <f>L70/H70</f>
        <v>0.95711424438090309</v>
      </c>
      <c r="AG63" s="15" t="s">
        <v>266</v>
      </c>
      <c r="AH63" s="15" t="s">
        <v>352</v>
      </c>
      <c r="AI63" s="123" t="s">
        <v>305</v>
      </c>
      <c r="AK63" s="1">
        <v>1.4810000000000001</v>
      </c>
    </row>
    <row r="64" spans="7:37" ht="15" customHeight="1">
      <c r="G64" s="449"/>
      <c r="H64" s="106" t="s">
        <v>59</v>
      </c>
      <c r="I64" s="106" t="s">
        <v>305</v>
      </c>
      <c r="J64" s="106" t="s">
        <v>368</v>
      </c>
      <c r="K64" s="103" t="s">
        <v>305</v>
      </c>
      <c r="L64" s="103" t="s">
        <v>368</v>
      </c>
      <c r="AG64" s="15"/>
      <c r="AH64" s="15" t="s">
        <v>354</v>
      </c>
      <c r="AI64" s="123" t="s">
        <v>305</v>
      </c>
      <c r="AK64" s="1">
        <v>0.2331</v>
      </c>
    </row>
    <row r="65" spans="7:37" ht="15" customHeight="1">
      <c r="G65" s="122" t="s">
        <v>350</v>
      </c>
      <c r="H65" s="119">
        <f>H59</f>
        <v>500.13636363636357</v>
      </c>
      <c r="I65" s="112">
        <f>O42</f>
        <v>2.0244996728165048</v>
      </c>
      <c r="J65" s="112">
        <f>J59</f>
        <v>1012.5259045454545</v>
      </c>
      <c r="K65" s="111">
        <f>O43</f>
        <v>0.94430000000000003</v>
      </c>
      <c r="L65" s="111">
        <f>H65*K65</f>
        <v>472.27876818181812</v>
      </c>
      <c r="N65" s="4"/>
      <c r="O65" s="4" t="s">
        <v>232</v>
      </c>
      <c r="AG65" s="15" t="s">
        <v>268</v>
      </c>
      <c r="AH65" s="15" t="s">
        <v>352</v>
      </c>
      <c r="AI65" s="123" t="s">
        <v>305</v>
      </c>
      <c r="AK65" s="1">
        <v>2.1781999999999999</v>
      </c>
    </row>
    <row r="66" spans="7:37" ht="15" customHeight="1">
      <c r="G66" s="122" t="s">
        <v>355</v>
      </c>
      <c r="H66" s="118">
        <v>77.099999999999994</v>
      </c>
      <c r="I66" s="112">
        <v>2.1240000000000001</v>
      </c>
      <c r="J66" s="112">
        <f>H66*I66</f>
        <v>163.7604</v>
      </c>
      <c r="K66" s="111">
        <v>1.0736000000000001</v>
      </c>
      <c r="L66" s="111">
        <f>H66*K66</f>
        <v>82.774560000000008</v>
      </c>
      <c r="N66" s="130" t="s">
        <v>387</v>
      </c>
      <c r="O66" s="111">
        <f>((O62-P94)/(P93))*100</f>
        <v>32.467657191956455</v>
      </c>
      <c r="AG66" s="15"/>
      <c r="AH66" s="15" t="s">
        <v>354</v>
      </c>
      <c r="AI66" s="123" t="s">
        <v>305</v>
      </c>
      <c r="AK66" s="1">
        <v>0.76749999999999996</v>
      </c>
    </row>
    <row r="67" spans="7:37" ht="15" customHeight="1">
      <c r="G67" s="122" t="s">
        <v>388</v>
      </c>
      <c r="H67" s="118">
        <v>77.099999999999994</v>
      </c>
      <c r="I67" s="112">
        <f>I66</f>
        <v>2.1240000000000001</v>
      </c>
      <c r="J67" s="112">
        <f>H67*I67</f>
        <v>163.7604</v>
      </c>
      <c r="K67" s="111">
        <f>K66</f>
        <v>1.0736000000000001</v>
      </c>
      <c r="L67" s="111">
        <f>H67*K67</f>
        <v>82.774560000000008</v>
      </c>
      <c r="AG67" s="15" t="s">
        <v>271</v>
      </c>
      <c r="AH67" s="15" t="s">
        <v>352</v>
      </c>
      <c r="AI67" s="123" t="s">
        <v>305</v>
      </c>
      <c r="AK67" s="1">
        <v>2.6067</v>
      </c>
    </row>
    <row r="68" spans="7:37" ht="15" customHeight="1">
      <c r="G68" s="122" t="s">
        <v>389</v>
      </c>
      <c r="H68" s="118">
        <v>54.42</v>
      </c>
      <c r="I68" s="112">
        <v>2.54</v>
      </c>
      <c r="J68" s="112">
        <f>H68*I68</f>
        <v>138.2268</v>
      </c>
      <c r="K68" s="111">
        <v>0.87009999999999998</v>
      </c>
      <c r="L68" s="111">
        <f>H68*K68</f>
        <v>47.350842</v>
      </c>
      <c r="AG68" s="15"/>
      <c r="AH68" s="15" t="s">
        <v>354</v>
      </c>
      <c r="AI68" s="123" t="s">
        <v>305</v>
      </c>
      <c r="AK68" s="1">
        <v>0.88190000000000002</v>
      </c>
    </row>
    <row r="69" spans="7:37" ht="30" customHeight="1">
      <c r="G69" s="122" t="s">
        <v>370</v>
      </c>
      <c r="H69" s="131">
        <f>('ACT 3'!F12)/2</f>
        <v>35.975758825497387</v>
      </c>
      <c r="I69" s="132">
        <v>2.3972000000000002</v>
      </c>
      <c r="J69" s="112">
        <f>H69*I69</f>
        <v>86.241089056482338</v>
      </c>
      <c r="K69" s="111">
        <v>0.76759999999999995</v>
      </c>
      <c r="L69" s="111">
        <f>H69*K69</f>
        <v>27.614992474451793</v>
      </c>
      <c r="M69" s="1" t="s">
        <v>119</v>
      </c>
      <c r="N69" s="1">
        <v>3.5400000000000001E-2</v>
      </c>
      <c r="AG69" s="15" t="s">
        <v>274</v>
      </c>
      <c r="AH69" s="15" t="s">
        <v>352</v>
      </c>
      <c r="AI69" s="123" t="s">
        <v>305</v>
      </c>
      <c r="AK69" s="1">
        <v>1.6168</v>
      </c>
    </row>
    <row r="70" spans="7:37" ht="18.75" customHeight="1">
      <c r="G70" s="120" t="s">
        <v>345</v>
      </c>
      <c r="H70" s="133">
        <f>SUM(H65:H69)</f>
        <v>744.73212246186085</v>
      </c>
      <c r="J70" s="134">
        <f>SUM(J65:J69)</f>
        <v>1564.5145936019371</v>
      </c>
      <c r="L70" s="134">
        <f>SUM(L65:L69)</f>
        <v>712.79372265627012</v>
      </c>
      <c r="AG70" s="15"/>
      <c r="AH70" s="15" t="s">
        <v>354</v>
      </c>
      <c r="AI70" s="123" t="s">
        <v>305</v>
      </c>
      <c r="AK70" s="1">
        <v>1.1778999999999999</v>
      </c>
    </row>
    <row r="71" spans="7:37" ht="15" customHeight="1">
      <c r="G71" s="135"/>
      <c r="H71" s="136"/>
      <c r="I71" s="136"/>
      <c r="J71" s="136"/>
      <c r="K71" s="136"/>
      <c r="L71" s="136"/>
      <c r="AG71" s="15" t="s">
        <v>277</v>
      </c>
      <c r="AH71" s="15" t="s">
        <v>352</v>
      </c>
      <c r="AI71" s="123" t="s">
        <v>305</v>
      </c>
      <c r="AK71" s="1">
        <v>1.262</v>
      </c>
    </row>
    <row r="72" spans="7:37" ht="15" customHeight="1">
      <c r="G72" s="135"/>
      <c r="H72" s="136"/>
      <c r="I72" s="136"/>
      <c r="J72" s="136"/>
      <c r="K72" s="136"/>
      <c r="L72" s="136"/>
      <c r="AG72" s="15"/>
      <c r="AH72" s="15" t="s">
        <v>354</v>
      </c>
      <c r="AI72" s="123" t="s">
        <v>305</v>
      </c>
      <c r="AK72" s="1">
        <v>1.1108</v>
      </c>
    </row>
    <row r="73" spans="7:37" ht="15" customHeight="1">
      <c r="G73" s="450" t="s">
        <v>390</v>
      </c>
      <c r="H73" s="450"/>
      <c r="I73" s="450"/>
      <c r="J73" s="450"/>
      <c r="K73" s="450"/>
      <c r="L73" s="450"/>
      <c r="N73" s="129" t="s">
        <v>307</v>
      </c>
      <c r="O73" s="111">
        <f>J79/H79</f>
        <v>2.0224327694918203</v>
      </c>
      <c r="AG73" s="15" t="s">
        <v>280</v>
      </c>
      <c r="AH73" s="15" t="s">
        <v>352</v>
      </c>
      <c r="AI73" s="123" t="s">
        <v>305</v>
      </c>
      <c r="AK73" s="1">
        <v>2.3113000000000001</v>
      </c>
    </row>
    <row r="74" spans="7:37" ht="15" customHeight="1">
      <c r="G74" s="449" t="s">
        <v>299</v>
      </c>
      <c r="H74" s="110" t="s">
        <v>365</v>
      </c>
      <c r="I74" s="359" t="s">
        <v>300</v>
      </c>
      <c r="J74" s="359" t="s">
        <v>366</v>
      </c>
      <c r="K74" s="359" t="s">
        <v>301</v>
      </c>
      <c r="L74" s="359" t="s">
        <v>367</v>
      </c>
      <c r="N74" s="129" t="s">
        <v>309</v>
      </c>
      <c r="O74" s="111">
        <f>L79/H79</f>
        <v>0.96251023021697357</v>
      </c>
      <c r="AG74" s="15"/>
      <c r="AH74" s="15" t="s">
        <v>354</v>
      </c>
      <c r="AI74" s="123" t="s">
        <v>305</v>
      </c>
      <c r="AK74" s="1">
        <v>0.92300000000000004</v>
      </c>
    </row>
    <row r="75" spans="7:37" ht="15" customHeight="1">
      <c r="G75" s="449"/>
      <c r="H75" s="106" t="s">
        <v>59</v>
      </c>
      <c r="I75" s="106" t="s">
        <v>305</v>
      </c>
      <c r="J75" s="106" t="s">
        <v>368</v>
      </c>
      <c r="K75" s="103" t="s">
        <v>305</v>
      </c>
      <c r="L75" s="103" t="s">
        <v>368</v>
      </c>
      <c r="AG75" s="15" t="s">
        <v>137</v>
      </c>
      <c r="AH75" s="15" t="s">
        <v>352</v>
      </c>
      <c r="AI75" s="123" t="s">
        <v>305</v>
      </c>
      <c r="AK75" s="1">
        <v>0.8367</v>
      </c>
    </row>
    <row r="76" spans="7:37" ht="15" customHeight="1">
      <c r="G76" s="122" t="s">
        <v>350</v>
      </c>
      <c r="H76" s="119">
        <f>H59</f>
        <v>500.13636363636357</v>
      </c>
      <c r="I76" s="112">
        <f>O42</f>
        <v>2.0244996728165048</v>
      </c>
      <c r="J76" s="112">
        <f>I76*H76</f>
        <v>1012.5259045454545</v>
      </c>
      <c r="K76" s="111">
        <f>O43</f>
        <v>0.94430000000000003</v>
      </c>
      <c r="L76" s="111">
        <f>K76*H76</f>
        <v>472.27876818181812</v>
      </c>
      <c r="N76" s="4"/>
      <c r="O76" s="4" t="s">
        <v>232</v>
      </c>
      <c r="AG76" s="15"/>
      <c r="AH76" s="15" t="s">
        <v>354</v>
      </c>
      <c r="AI76" s="123" t="s">
        <v>305</v>
      </c>
      <c r="AK76" s="1">
        <v>0.96279999999999999</v>
      </c>
    </row>
    <row r="77" spans="7:37" ht="15" customHeight="1">
      <c r="G77" s="122" t="s">
        <v>355</v>
      </c>
      <c r="H77" s="119">
        <v>54.42</v>
      </c>
      <c r="I77" s="112">
        <v>2.11</v>
      </c>
      <c r="J77" s="112">
        <f>I77*H77</f>
        <v>114.8262</v>
      </c>
      <c r="K77" s="111">
        <v>1.1399999999999999</v>
      </c>
      <c r="L77" s="111">
        <f>K77*H77</f>
        <v>62.038799999999995</v>
      </c>
      <c r="N77" s="130" t="s">
        <v>387</v>
      </c>
      <c r="O77" s="111">
        <f>((O73-P94)/(P93))*100</f>
        <v>26.606108501698511</v>
      </c>
      <c r="AG77" s="15" t="s">
        <v>285</v>
      </c>
      <c r="AH77" s="15" t="s">
        <v>352</v>
      </c>
      <c r="AI77" s="123" t="s">
        <v>305</v>
      </c>
      <c r="AK77" s="1">
        <v>0.20730000000000001</v>
      </c>
    </row>
    <row r="78" spans="7:37" ht="15" customHeight="1">
      <c r="G78" s="122" t="s">
        <v>245</v>
      </c>
      <c r="H78" s="119">
        <v>4.8068506954545498</v>
      </c>
      <c r="I78" s="112">
        <v>0.81599999999999995</v>
      </c>
      <c r="J78" s="112">
        <f>I78*H78</f>
        <v>3.9223901674909123</v>
      </c>
      <c r="K78" s="111">
        <v>0.8478</v>
      </c>
      <c r="L78" s="111">
        <f>K78*H78</f>
        <v>4.0752480196063674</v>
      </c>
      <c r="AG78" s="15"/>
      <c r="AH78" s="15" t="s">
        <v>354</v>
      </c>
      <c r="AI78" s="123" t="s">
        <v>305</v>
      </c>
      <c r="AK78" s="1">
        <v>1.0846</v>
      </c>
    </row>
    <row r="79" spans="7:37" ht="18.75" customHeight="1">
      <c r="G79" s="120" t="s">
        <v>345</v>
      </c>
      <c r="H79" s="133">
        <f>SUM(H76:H78)</f>
        <v>559.36321433181809</v>
      </c>
      <c r="J79" s="134">
        <f>SUM(J76:J78)</f>
        <v>1131.2744947129454</v>
      </c>
      <c r="L79" s="134">
        <f>SUM(L76:L78)</f>
        <v>538.39281620142458</v>
      </c>
      <c r="AG79" s="15"/>
      <c r="AH79" s="15"/>
      <c r="AI79" s="15"/>
    </row>
    <row r="80" spans="7:37" ht="195" customHeight="1">
      <c r="AG80" s="137" t="s">
        <v>391</v>
      </c>
      <c r="AH80" s="138" t="s">
        <v>392</v>
      </c>
      <c r="AI80" s="137" t="s">
        <v>305</v>
      </c>
      <c r="AK80" s="1">
        <v>1.66683037</v>
      </c>
    </row>
    <row r="81" spans="7:21" ht="15" customHeight="1">
      <c r="G81" s="450" t="s">
        <v>393</v>
      </c>
      <c r="H81" s="450"/>
      <c r="I81" s="450"/>
      <c r="J81" s="450"/>
      <c r="K81" s="450"/>
      <c r="L81" s="450"/>
      <c r="N81" s="129" t="s">
        <v>307</v>
      </c>
      <c r="O81" s="111">
        <f>J90/H90</f>
        <v>2.0743003779212925</v>
      </c>
    </row>
    <row r="82" spans="7:21" ht="15" customHeight="1">
      <c r="G82" s="449" t="s">
        <v>299</v>
      </c>
      <c r="H82" s="110" t="s">
        <v>365</v>
      </c>
      <c r="I82" s="359" t="s">
        <v>300</v>
      </c>
      <c r="J82" s="359" t="s">
        <v>366</v>
      </c>
      <c r="K82" s="359" t="s">
        <v>301</v>
      </c>
      <c r="L82" s="359" t="s">
        <v>367</v>
      </c>
      <c r="N82" s="129" t="s">
        <v>309</v>
      </c>
      <c r="O82" s="111">
        <f>L90/H90</f>
        <v>0.95626367709832738</v>
      </c>
    </row>
    <row r="83" spans="7:21" ht="15" customHeight="1">
      <c r="G83" s="449"/>
      <c r="H83" s="106" t="s">
        <v>59</v>
      </c>
      <c r="I83" s="106" t="s">
        <v>305</v>
      </c>
      <c r="J83" s="106" t="s">
        <v>368</v>
      </c>
      <c r="K83" s="103" t="s">
        <v>305</v>
      </c>
      <c r="L83" s="103" t="s">
        <v>368</v>
      </c>
    </row>
    <row r="84" spans="7:21" ht="15" customHeight="1">
      <c r="G84" s="122" t="s">
        <v>350</v>
      </c>
      <c r="H84" s="119">
        <f>H59</f>
        <v>500.13636363636357</v>
      </c>
      <c r="I84" s="112">
        <f>O42</f>
        <v>2.0244996728165048</v>
      </c>
      <c r="J84" s="112">
        <f>H84*I84</f>
        <v>1012.5259045454545</v>
      </c>
      <c r="K84" s="111">
        <f>O43</f>
        <v>0.94430000000000003</v>
      </c>
      <c r="L84" s="111">
        <f>H84*K84</f>
        <v>472.27876818181812</v>
      </c>
      <c r="N84" s="4"/>
      <c r="O84" s="4" t="s">
        <v>232</v>
      </c>
    </row>
    <row r="85" spans="7:21" ht="15" customHeight="1">
      <c r="G85" s="122" t="s">
        <v>355</v>
      </c>
      <c r="H85" s="139">
        <v>77.099999999999994</v>
      </c>
      <c r="I85" s="112">
        <f>I66</f>
        <v>2.1240000000000001</v>
      </c>
      <c r="J85" s="112">
        <f>H85*I85</f>
        <v>163.7604</v>
      </c>
      <c r="K85" s="111">
        <f>K66</f>
        <v>1.0736000000000001</v>
      </c>
      <c r="L85" s="111">
        <f>H85*K85</f>
        <v>82.774560000000008</v>
      </c>
      <c r="N85" s="130" t="s">
        <v>387</v>
      </c>
      <c r="O85" s="111">
        <f>((O81-P94)/(P93))*100</f>
        <v>30.486833771185601</v>
      </c>
    </row>
    <row r="86" spans="7:21" ht="15" customHeight="1">
      <c r="G86" s="122" t="s">
        <v>388</v>
      </c>
      <c r="H86" s="139">
        <v>77.099999999999994</v>
      </c>
      <c r="I86" s="112">
        <v>2.11</v>
      </c>
      <c r="J86" s="112">
        <f>H86*I86</f>
        <v>162.68099999999998</v>
      </c>
      <c r="K86" s="111">
        <v>1.1399999999999999</v>
      </c>
      <c r="L86" s="111">
        <f>H86*K86</f>
        <v>87.893999999999991</v>
      </c>
      <c r="U86" s="1">
        <v>16.72</v>
      </c>
    </row>
    <row r="87" spans="7:21" ht="15" customHeight="1">
      <c r="G87" s="122" t="s">
        <v>389</v>
      </c>
      <c r="H87" s="118">
        <v>36.28</v>
      </c>
      <c r="I87" s="112">
        <f>I68</f>
        <v>2.54</v>
      </c>
      <c r="J87" s="112">
        <f>H87*I87</f>
        <v>92.151200000000003</v>
      </c>
      <c r="K87" s="111">
        <f>K68</f>
        <v>0.87009999999999998</v>
      </c>
      <c r="L87" s="111">
        <f>H87*K87</f>
        <v>31.567228</v>
      </c>
      <c r="U87" s="1" t="s">
        <v>394</v>
      </c>
    </row>
    <row r="88" spans="7:21" ht="15" customHeight="1">
      <c r="G88" s="122" t="s">
        <v>362</v>
      </c>
      <c r="H88" s="119">
        <v>71.951576350503998</v>
      </c>
      <c r="I88" s="112">
        <f>I53</f>
        <v>2.1781999999999999</v>
      </c>
      <c r="J88" s="112">
        <f>H88*I88</f>
        <v>156.7249236066678</v>
      </c>
      <c r="K88" s="111">
        <f>K53</f>
        <v>0.76749999999999996</v>
      </c>
      <c r="L88" s="111">
        <f>H88*K88</f>
        <v>55.222834849011818</v>
      </c>
    </row>
    <row r="89" spans="7:21" ht="15" customHeight="1">
      <c r="G89" s="122" t="s">
        <v>364</v>
      </c>
      <c r="H89" s="119">
        <v>4.8068506954545498</v>
      </c>
      <c r="I89" s="112">
        <f>I78</f>
        <v>0.81599999999999995</v>
      </c>
      <c r="J89" s="112">
        <f>H89*I89</f>
        <v>3.9223901674909123</v>
      </c>
      <c r="K89" s="111">
        <f>K78</f>
        <v>0.8478</v>
      </c>
      <c r="L89" s="111">
        <f>H89*K89</f>
        <v>4.0752480196063674</v>
      </c>
      <c r="M89" s="1" t="s">
        <v>119</v>
      </c>
      <c r="N89" s="1">
        <v>4.5999999999999999E-2</v>
      </c>
    </row>
    <row r="90" spans="7:21" ht="18.75" customHeight="1">
      <c r="G90" s="120" t="s">
        <v>345</v>
      </c>
      <c r="H90" s="133">
        <f>SUM(H84:H89)</f>
        <v>767.37479068232199</v>
      </c>
      <c r="J90" s="134">
        <f>SUM(J84:J89)</f>
        <v>1591.7658183196133</v>
      </c>
      <c r="L90" s="134">
        <f>SUM(L84:L89)</f>
        <v>733.81263905043647</v>
      </c>
    </row>
    <row r="93" spans="7:21" ht="15" customHeight="1">
      <c r="O93" s="140" t="s">
        <v>395</v>
      </c>
      <c r="P93" s="141">
        <v>1.33654419799543</v>
      </c>
      <c r="Q93" s="1" t="s">
        <v>305</v>
      </c>
      <c r="R93" s="1">
        <f>(O62-P94)/(P93)</f>
        <v>0.32467657191956456</v>
      </c>
    </row>
    <row r="94" spans="7:21" ht="15" customHeight="1">
      <c r="O94" s="140" t="s">
        <v>396</v>
      </c>
      <c r="P94" s="141">
        <v>1.66683037</v>
      </c>
      <c r="Q94" s="1" t="s">
        <v>305</v>
      </c>
    </row>
  </sheetData>
  <mergeCells count="16">
    <mergeCell ref="G82:G83"/>
    <mergeCell ref="G62:L62"/>
    <mergeCell ref="G63:G64"/>
    <mergeCell ref="G73:L73"/>
    <mergeCell ref="G74:G75"/>
    <mergeCell ref="G81:L81"/>
    <mergeCell ref="G24:G25"/>
    <mergeCell ref="G32:L32"/>
    <mergeCell ref="G33:G34"/>
    <mergeCell ref="G42:L42"/>
    <mergeCell ref="G43:G44"/>
    <mergeCell ref="G7:L7"/>
    <mergeCell ref="G8:G9"/>
    <mergeCell ref="G15:L15"/>
    <mergeCell ref="G16:G17"/>
    <mergeCell ref="G23:L23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R39"/>
  <sheetViews>
    <sheetView zoomScaleNormal="100" workbookViewId="0">
      <selection activeCell="D15" sqref="D15"/>
    </sheetView>
  </sheetViews>
  <sheetFormatPr defaultColWidth="8.85546875" defaultRowHeight="15"/>
  <cols>
    <col min="1" max="1" width="18" style="1" customWidth="1"/>
    <col min="14" max="14" width="12.42578125" style="1" customWidth="1"/>
  </cols>
  <sheetData>
    <row r="4" spans="1:16" ht="15" customHeight="1">
      <c r="G4" s="452" t="s">
        <v>397</v>
      </c>
      <c r="H4" s="452"/>
      <c r="I4" s="13">
        <v>21.47</v>
      </c>
      <c r="J4" s="4" t="s">
        <v>398</v>
      </c>
    </row>
    <row r="6" spans="1:16" ht="27.75" customHeight="1">
      <c r="G6" s="453" t="s">
        <v>399</v>
      </c>
      <c r="H6" s="453"/>
      <c r="I6" s="453"/>
      <c r="J6" s="453"/>
      <c r="M6" s="454" t="s">
        <v>47</v>
      </c>
      <c r="N6" s="454"/>
      <c r="O6" s="454"/>
    </row>
    <row r="7" spans="1:16" ht="15" customHeight="1">
      <c r="G7" s="8" t="s">
        <v>307</v>
      </c>
      <c r="H7" s="11">
        <v>2.06</v>
      </c>
      <c r="I7" s="142" t="s">
        <v>305</v>
      </c>
      <c r="M7" s="8" t="s">
        <v>54</v>
      </c>
      <c r="N7" s="11">
        <f t="array" ref="N7:O7">'ACT 3'!F2:G2</f>
        <v>1649.2521457653345</v>
      </c>
      <c r="O7" s="11">
        <v>0</v>
      </c>
      <c r="P7" s="1" t="s">
        <v>55</v>
      </c>
    </row>
    <row r="8" spans="1:16" ht="15" customHeight="1">
      <c r="G8" s="8" t="s">
        <v>309</v>
      </c>
      <c r="H8" s="11">
        <v>0.98</v>
      </c>
      <c r="I8" s="142" t="s">
        <v>305</v>
      </c>
      <c r="N8" s="11">
        <f t="array" ref="N8:O8">'ACT 3'!F3:G3</f>
        <v>748.08757930198965</v>
      </c>
      <c r="O8" s="11">
        <v>0</v>
      </c>
      <c r="P8" s="1" t="s">
        <v>59</v>
      </c>
    </row>
    <row r="10" spans="1:16" ht="15" customHeight="1">
      <c r="M10" s="8" t="s">
        <v>96</v>
      </c>
      <c r="N10" s="11">
        <f t="array" ref="N10:O10">'ACT 3'!F11:G11</f>
        <v>158.62607288266719</v>
      </c>
      <c r="O10" s="11">
        <v>0</v>
      </c>
      <c r="P10" s="1" t="s">
        <v>55</v>
      </c>
    </row>
    <row r="11" spans="1:16" ht="27.75" customHeight="1">
      <c r="G11" s="453" t="s">
        <v>400</v>
      </c>
      <c r="H11" s="453"/>
      <c r="I11" s="453"/>
      <c r="J11" s="453"/>
      <c r="N11" s="13">
        <f t="array" ref="N11:O11">'ACT 3'!F12:G12</f>
        <v>71.951517650994774</v>
      </c>
      <c r="O11" s="13">
        <v>0</v>
      </c>
      <c r="P11" s="1" t="s">
        <v>59</v>
      </c>
    </row>
    <row r="12" spans="1:16" ht="15" customHeight="1">
      <c r="G12" s="8" t="s">
        <v>307</v>
      </c>
      <c r="H12" s="11">
        <v>2.0499999999999998</v>
      </c>
      <c r="I12" s="142" t="s">
        <v>305</v>
      </c>
    </row>
    <row r="13" spans="1:16" ht="15" customHeight="1">
      <c r="G13" s="8" t="s">
        <v>309</v>
      </c>
      <c r="H13" s="11">
        <v>0.97</v>
      </c>
      <c r="I13" s="142" t="s">
        <v>305</v>
      </c>
      <c r="M13" s="455" t="s">
        <v>60</v>
      </c>
      <c r="N13" s="455"/>
      <c r="O13" s="455"/>
    </row>
    <row r="14" spans="1:16" ht="15" customHeight="1">
      <c r="M14" s="8" t="s">
        <v>64</v>
      </c>
      <c r="N14" s="12">
        <f>'ACT 3'!J4</f>
        <v>126.52100068226807</v>
      </c>
      <c r="O14" s="13" t="s">
        <v>401</v>
      </c>
    </row>
    <row r="15" spans="1:16" ht="15.75" customHeight="1">
      <c r="G15" s="456"/>
      <c r="H15" s="456"/>
    </row>
    <row r="16" spans="1:16" ht="30" customHeight="1">
      <c r="A16" s="143" t="s">
        <v>402</v>
      </c>
      <c r="B16" s="144" t="s">
        <v>403</v>
      </c>
      <c r="G16" s="452" t="s">
        <v>404</v>
      </c>
      <c r="H16" s="452"/>
      <c r="I16" s="10">
        <f>N7-0.25*(N10)</f>
        <v>1609.5956275446676</v>
      </c>
      <c r="J16" s="357" t="s">
        <v>55</v>
      </c>
      <c r="M16" s="8" t="s">
        <v>405</v>
      </c>
      <c r="N16" s="11">
        <v>32.173999999999999</v>
      </c>
      <c r="O16" s="11" t="s">
        <v>406</v>
      </c>
    </row>
    <row r="17" spans="1:18" ht="15" customHeight="1">
      <c r="A17" s="7" t="s">
        <v>407</v>
      </c>
      <c r="B17" s="145">
        <v>0.47</v>
      </c>
      <c r="G17" s="457" t="s">
        <v>408</v>
      </c>
      <c r="H17" s="457"/>
      <c r="I17" s="458">
        <f>4.4*(I16/N14)^(1/4)</f>
        <v>8.30981237053693</v>
      </c>
      <c r="J17" s="459" t="s">
        <v>133</v>
      </c>
    </row>
    <row r="18" spans="1:18" ht="15" customHeight="1">
      <c r="A18" s="7" t="s">
        <v>409</v>
      </c>
      <c r="B18" s="145">
        <v>0.5</v>
      </c>
      <c r="G18" s="457"/>
      <c r="H18" s="457"/>
      <c r="I18" s="458"/>
      <c r="J18" s="458"/>
      <c r="M18" s="8" t="s">
        <v>410</v>
      </c>
      <c r="N18" s="11">
        <v>3</v>
      </c>
      <c r="O18" s="460" t="s">
        <v>411</v>
      </c>
      <c r="P18" s="460"/>
      <c r="Q18" s="460"/>
      <c r="R18" s="460"/>
    </row>
    <row r="19" spans="1:18" ht="15" customHeight="1">
      <c r="A19" s="7" t="s">
        <v>412</v>
      </c>
      <c r="B19" s="145">
        <v>0.6</v>
      </c>
      <c r="G19" s="452" t="s">
        <v>413</v>
      </c>
      <c r="H19" s="452"/>
      <c r="I19" s="11">
        <f>((I17)^2)/(2*N16*(N18))*12</f>
        <v>4.2924710408111268</v>
      </c>
      <c r="J19" s="357" t="s">
        <v>414</v>
      </c>
    </row>
    <row r="20" spans="1:18" ht="15.75" customHeight="1">
      <c r="A20" s="146" t="s">
        <v>415</v>
      </c>
      <c r="B20" s="147">
        <v>0.75</v>
      </c>
      <c r="G20" s="452" t="s">
        <v>416</v>
      </c>
      <c r="H20" s="452"/>
      <c r="I20" s="11">
        <f>(N7)*((N20-N21)/N20)</f>
        <v>195.40892207552236</v>
      </c>
      <c r="J20" s="357" t="s">
        <v>55</v>
      </c>
      <c r="M20" s="8" t="s">
        <v>387</v>
      </c>
      <c r="N20" s="148">
        <v>1.6894390399999999</v>
      </c>
      <c r="O20" s="1" t="s">
        <v>305</v>
      </c>
    </row>
    <row r="21" spans="1:18" ht="15" customHeight="1">
      <c r="G21" s="461" t="s">
        <v>417</v>
      </c>
      <c r="H21" s="461"/>
      <c r="I21" s="11">
        <f>(N7-I20)/2</f>
        <v>726.92161184490601</v>
      </c>
      <c r="J21" s="357" t="s">
        <v>55</v>
      </c>
      <c r="M21" s="8" t="s">
        <v>418</v>
      </c>
      <c r="N21" s="148">
        <v>1.4892686399999999</v>
      </c>
      <c r="O21" s="1" t="s">
        <v>305</v>
      </c>
    </row>
    <row r="22" spans="1:18" ht="15" customHeight="1">
      <c r="G22" s="462" t="s">
        <v>419</v>
      </c>
      <c r="H22" s="462"/>
      <c r="I22" s="149">
        <f>(I19-(B17*H31))/(B20)</f>
        <v>3.8432947210815023</v>
      </c>
      <c r="J22" s="357" t="s">
        <v>414</v>
      </c>
    </row>
    <row r="23" spans="1:18" ht="15" customHeight="1">
      <c r="G23" s="462"/>
      <c r="H23" s="462"/>
      <c r="I23" s="11">
        <f>I22*0.0254</f>
        <v>9.7619685915470156E-2</v>
      </c>
      <c r="J23" s="357" t="s">
        <v>305</v>
      </c>
    </row>
    <row r="24" spans="1:18" ht="15.75" customHeight="1"/>
    <row r="25" spans="1:18" ht="15" customHeight="1">
      <c r="G25" s="465" t="s">
        <v>420</v>
      </c>
      <c r="H25" s="465"/>
      <c r="I25" s="465"/>
      <c r="J25" s="465"/>
      <c r="K25" s="465"/>
    </row>
    <row r="26" spans="1:18" ht="15" customHeight="1">
      <c r="G26" s="150" t="s">
        <v>421</v>
      </c>
      <c r="H26" s="463">
        <v>800</v>
      </c>
      <c r="I26" s="463"/>
      <c r="J26" s="463"/>
      <c r="K26" s="151" t="s">
        <v>422</v>
      </c>
      <c r="L26" s="89" t="s">
        <v>423</v>
      </c>
    </row>
    <row r="27" spans="1:18" ht="15" customHeight="1">
      <c r="G27" s="150" t="s">
        <v>424</v>
      </c>
      <c r="H27" s="463" t="s">
        <v>425</v>
      </c>
      <c r="I27" s="463"/>
      <c r="J27" s="463"/>
      <c r="K27" s="151" t="s">
        <v>414</v>
      </c>
    </row>
    <row r="28" spans="1:18" ht="15" customHeight="1">
      <c r="G28" s="150" t="s">
        <v>426</v>
      </c>
      <c r="H28" s="463">
        <v>4</v>
      </c>
      <c r="I28" s="463"/>
      <c r="J28" s="463"/>
      <c r="K28" s="151" t="s">
        <v>221</v>
      </c>
    </row>
    <row r="29" spans="1:18" ht="24" customHeight="1">
      <c r="G29" s="150" t="s">
        <v>427</v>
      </c>
      <c r="H29" s="463">
        <v>14.2</v>
      </c>
      <c r="I29" s="463"/>
      <c r="J29" s="463"/>
      <c r="K29" s="151" t="s">
        <v>414</v>
      </c>
    </row>
    <row r="30" spans="1:18" ht="24" customHeight="1">
      <c r="G30" s="150" t="s">
        <v>428</v>
      </c>
      <c r="H30" s="463">
        <v>4.0999999999999996</v>
      </c>
      <c r="I30" s="463"/>
      <c r="J30" s="463"/>
      <c r="K30" s="151" t="s">
        <v>414</v>
      </c>
    </row>
    <row r="31" spans="1:18" ht="24.75" customHeight="1">
      <c r="G31" s="150" t="s">
        <v>429</v>
      </c>
      <c r="H31" s="464">
        <v>3</v>
      </c>
      <c r="I31" s="464"/>
      <c r="J31" s="464"/>
      <c r="K31" s="152" t="s">
        <v>414</v>
      </c>
    </row>
    <row r="33" spans="1:6" ht="15.75" customHeight="1"/>
    <row r="34" spans="1:6" ht="25.5" customHeight="1">
      <c r="A34" s="153" t="s">
        <v>421</v>
      </c>
      <c r="B34" s="154" t="s">
        <v>424</v>
      </c>
      <c r="C34" s="154" t="s">
        <v>426</v>
      </c>
      <c r="D34" s="154" t="s">
        <v>427</v>
      </c>
      <c r="E34" s="154" t="s">
        <v>428</v>
      </c>
      <c r="F34" s="155" t="s">
        <v>429</v>
      </c>
    </row>
    <row r="35" spans="1:6" ht="15.75" customHeight="1">
      <c r="A35" s="156" t="s">
        <v>430</v>
      </c>
      <c r="B35" s="157" t="s">
        <v>431</v>
      </c>
      <c r="C35" s="157" t="s">
        <v>432</v>
      </c>
      <c r="D35" s="157" t="s">
        <v>433</v>
      </c>
      <c r="E35" s="157" t="s">
        <v>433</v>
      </c>
      <c r="F35" s="158" t="s">
        <v>433</v>
      </c>
    </row>
    <row r="36" spans="1:6" ht="15.75" customHeight="1">
      <c r="A36" s="156">
        <v>700</v>
      </c>
      <c r="B36" s="157" t="s">
        <v>425</v>
      </c>
      <c r="C36" s="157">
        <v>4</v>
      </c>
      <c r="D36" s="157">
        <v>13.25</v>
      </c>
      <c r="E36" s="157">
        <v>3.6</v>
      </c>
      <c r="F36" s="158">
        <v>3.02</v>
      </c>
    </row>
    <row r="37" spans="1:6" ht="15.75" customHeight="1">
      <c r="A37" s="156">
        <v>800</v>
      </c>
      <c r="B37" s="157" t="s">
        <v>425</v>
      </c>
      <c r="C37" s="157">
        <v>4</v>
      </c>
      <c r="D37" s="157">
        <v>14.2</v>
      </c>
      <c r="E37" s="157">
        <v>4.0999999999999996</v>
      </c>
      <c r="F37" s="158">
        <v>3</v>
      </c>
    </row>
    <row r="38" spans="1:6" ht="15.75" customHeight="1">
      <c r="A38" s="159">
        <v>1100</v>
      </c>
      <c r="B38" s="160" t="s">
        <v>434</v>
      </c>
      <c r="C38" s="160">
        <v>5</v>
      </c>
      <c r="D38" s="160">
        <v>17.5</v>
      </c>
      <c r="E38" s="160">
        <v>4.5</v>
      </c>
      <c r="F38" s="161">
        <v>4.25</v>
      </c>
    </row>
    <row r="39" spans="1:6" ht="15.75" customHeight="1"/>
  </sheetData>
  <mergeCells count="22">
    <mergeCell ref="H30:J30"/>
    <mergeCell ref="H31:J31"/>
    <mergeCell ref="G25:K25"/>
    <mergeCell ref="H26:J26"/>
    <mergeCell ref="H27:J27"/>
    <mergeCell ref="H28:J28"/>
    <mergeCell ref="H29:J29"/>
    <mergeCell ref="O18:R18"/>
    <mergeCell ref="G19:H19"/>
    <mergeCell ref="G20:H20"/>
    <mergeCell ref="G21:H21"/>
    <mergeCell ref="G22:H23"/>
    <mergeCell ref="G15:H15"/>
    <mergeCell ref="G16:H16"/>
    <mergeCell ref="G17:H18"/>
    <mergeCell ref="I17:I18"/>
    <mergeCell ref="J17:J18"/>
    <mergeCell ref="G4:H4"/>
    <mergeCell ref="G6:J6"/>
    <mergeCell ref="M6:O6"/>
    <mergeCell ref="G11:J11"/>
    <mergeCell ref="M13:O13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6:AG35"/>
  <sheetViews>
    <sheetView topLeftCell="N6" zoomScale="85" zoomScaleNormal="85" workbookViewId="0">
      <selection activeCell="AL15" sqref="AL15"/>
    </sheetView>
  </sheetViews>
  <sheetFormatPr defaultColWidth="8.85546875" defaultRowHeight="15"/>
  <cols>
    <col min="2" max="2" width="13.140625" style="1" customWidth="1"/>
    <col min="6" max="6" width="19.85546875" style="1" customWidth="1"/>
    <col min="19" max="19" width="12.42578125" style="1" customWidth="1"/>
    <col min="26" max="26" width="10.42578125" style="1" customWidth="1"/>
    <col min="28" max="28" width="12.42578125" customWidth="1"/>
  </cols>
  <sheetData>
    <row r="6" spans="2:33" ht="15.75" customHeight="1"/>
    <row r="7" spans="2:33" ht="15.75" customHeight="1">
      <c r="O7" s="466" t="s">
        <v>435</v>
      </c>
      <c r="P7" s="466"/>
      <c r="Q7" s="466"/>
      <c r="R7" s="466"/>
      <c r="S7" s="466"/>
      <c r="U7" s="466" t="s">
        <v>436</v>
      </c>
      <c r="V7" s="466"/>
      <c r="W7" s="466"/>
      <c r="X7" s="466"/>
      <c r="Y7" s="466"/>
      <c r="Z7" s="466"/>
    </row>
    <row r="8" spans="2:33" ht="30.75" customHeight="1">
      <c r="F8" s="7" t="s">
        <v>52</v>
      </c>
      <c r="G8" s="145">
        <v>4.3999999999999997E-2</v>
      </c>
      <c r="O8" s="162" t="s">
        <v>437</v>
      </c>
      <c r="P8" s="163" t="s">
        <v>438</v>
      </c>
      <c r="Q8" s="163" t="s">
        <v>439</v>
      </c>
      <c r="R8" s="163" t="s">
        <v>440</v>
      </c>
      <c r="S8" s="163" t="s">
        <v>441</v>
      </c>
      <c r="U8" s="467" t="s">
        <v>437</v>
      </c>
      <c r="V8" s="467"/>
      <c r="W8" s="164" t="s">
        <v>438</v>
      </c>
      <c r="X8" s="164" t="s">
        <v>439</v>
      </c>
      <c r="Y8" s="164" t="s">
        <v>440</v>
      </c>
      <c r="Z8" s="164" t="s">
        <v>441</v>
      </c>
      <c r="AB8" s="15" t="s">
        <v>442</v>
      </c>
      <c r="AC8" s="15" t="s">
        <v>443</v>
      </c>
      <c r="AD8" s="15"/>
      <c r="AG8" s="1">
        <v>1.2656000000000001</v>
      </c>
    </row>
    <row r="9" spans="2:33" ht="15.75" customHeight="1">
      <c r="F9" s="7" t="s">
        <v>103</v>
      </c>
      <c r="G9" s="145">
        <v>6.9599999999999995E-2</v>
      </c>
      <c r="O9" s="468"/>
      <c r="P9" s="468"/>
      <c r="Q9" s="468"/>
      <c r="R9" s="163" t="s">
        <v>444</v>
      </c>
      <c r="S9" s="163" t="s">
        <v>444</v>
      </c>
      <c r="U9" s="469"/>
      <c r="V9" s="469"/>
      <c r="W9" s="469"/>
      <c r="X9" s="163" t="s">
        <v>445</v>
      </c>
      <c r="Y9" s="163" t="s">
        <v>444</v>
      </c>
      <c r="Z9" s="163" t="s">
        <v>444</v>
      </c>
      <c r="AB9" s="15" t="s">
        <v>446</v>
      </c>
      <c r="AC9" s="15" t="s">
        <v>447</v>
      </c>
      <c r="AD9" s="15"/>
      <c r="AG9" s="1">
        <v>1.68</v>
      </c>
    </row>
    <row r="10" spans="2:33" ht="30" customHeight="1">
      <c r="O10" s="472" t="s">
        <v>248</v>
      </c>
      <c r="P10" s="471" t="s">
        <v>448</v>
      </c>
      <c r="Q10" s="470">
        <v>8.0000000000000002E-3</v>
      </c>
      <c r="R10" s="470">
        <v>11.754</v>
      </c>
      <c r="S10" s="473">
        <f>Q10*R10</f>
        <v>9.4032000000000004E-2</v>
      </c>
      <c r="U10" s="474" t="s">
        <v>248</v>
      </c>
      <c r="V10" s="474"/>
      <c r="W10" s="471" t="s">
        <v>449</v>
      </c>
      <c r="X10" s="470">
        <v>8.0000000000000002E-3</v>
      </c>
      <c r="Y10" s="470">
        <v>11.754</v>
      </c>
      <c r="Z10" s="470">
        <f>X10*Y10</f>
        <v>9.4032000000000004E-2</v>
      </c>
      <c r="AB10" s="15" t="s">
        <v>439</v>
      </c>
      <c r="AC10" s="15" t="s">
        <v>248</v>
      </c>
      <c r="AD10" s="15" t="s">
        <v>450</v>
      </c>
    </row>
    <row r="11" spans="2:33" ht="15.75" customHeight="1">
      <c r="O11" s="472"/>
      <c r="P11" s="472"/>
      <c r="Q11" s="472"/>
      <c r="R11" s="472"/>
      <c r="S11" s="472"/>
      <c r="U11" s="474"/>
      <c r="V11" s="474"/>
      <c r="W11" s="471"/>
      <c r="X11" s="471"/>
      <c r="Y11" s="471"/>
      <c r="Z11" s="471"/>
      <c r="AB11" s="15"/>
      <c r="AC11" s="15" t="s">
        <v>442</v>
      </c>
      <c r="AD11" s="15" t="s">
        <v>451</v>
      </c>
    </row>
    <row r="12" spans="2:33" ht="45" customHeight="1">
      <c r="O12" s="472" t="s">
        <v>442</v>
      </c>
      <c r="P12" s="165" t="s">
        <v>452</v>
      </c>
      <c r="Q12" s="470">
        <v>0.12</v>
      </c>
      <c r="R12" s="470">
        <v>1.2656000000000001</v>
      </c>
      <c r="S12" s="473">
        <f>Q12*R12</f>
        <v>0.15187200000000001</v>
      </c>
      <c r="U12" s="474" t="s">
        <v>442</v>
      </c>
      <c r="V12" s="474"/>
      <c r="W12" s="471" t="s">
        <v>452</v>
      </c>
      <c r="X12" s="470">
        <v>0.12</v>
      </c>
      <c r="Y12" s="470">
        <v>1.2656000000000001</v>
      </c>
      <c r="Z12" s="470">
        <f>X12*Y12</f>
        <v>0.15187200000000001</v>
      </c>
      <c r="AB12" s="15"/>
      <c r="AC12" s="15" t="s">
        <v>50</v>
      </c>
      <c r="AD12" s="15" t="s">
        <v>453</v>
      </c>
    </row>
    <row r="13" spans="2:33" ht="15.75" customHeight="1">
      <c r="O13" s="472"/>
      <c r="P13" s="166" t="s">
        <v>454</v>
      </c>
      <c r="Q13" s="470"/>
      <c r="R13" s="470"/>
      <c r="S13" s="470"/>
      <c r="U13" s="474"/>
      <c r="V13" s="474"/>
      <c r="W13" s="471"/>
      <c r="X13" s="471"/>
      <c r="Y13" s="471"/>
      <c r="Z13" s="471"/>
      <c r="AB13" s="15"/>
      <c r="AC13" s="15" t="s">
        <v>49</v>
      </c>
      <c r="AD13" s="15" t="s">
        <v>453</v>
      </c>
    </row>
    <row r="14" spans="2:33" ht="30.75" customHeight="1">
      <c r="F14" s="167" t="s">
        <v>455</v>
      </c>
      <c r="G14" s="144" t="s">
        <v>456</v>
      </c>
      <c r="H14" s="144" t="s">
        <v>457</v>
      </c>
      <c r="K14" s="363">
        <v>0.1009</v>
      </c>
      <c r="O14" s="472" t="s">
        <v>50</v>
      </c>
      <c r="P14" s="471" t="s">
        <v>458</v>
      </c>
      <c r="Q14" s="470">
        <v>8.0000000000000002E-3</v>
      </c>
      <c r="R14" s="470">
        <v>0.52529999999999999</v>
      </c>
      <c r="S14" s="473">
        <f>Q14*R14</f>
        <v>4.2024000000000002E-3</v>
      </c>
      <c r="U14" s="474" t="s">
        <v>50</v>
      </c>
      <c r="V14" s="474"/>
      <c r="W14" s="471" t="s">
        <v>458</v>
      </c>
      <c r="X14" s="470">
        <v>8.0000000000000002E-3</v>
      </c>
      <c r="Y14" s="470">
        <v>0.52529999999999999</v>
      </c>
      <c r="Z14" s="470">
        <f>X14*Y14</f>
        <v>4.2024000000000002E-3</v>
      </c>
      <c r="AB14" s="15"/>
      <c r="AC14" s="15" t="s">
        <v>459</v>
      </c>
      <c r="AD14" s="15" t="s">
        <v>460</v>
      </c>
    </row>
    <row r="15" spans="2:33" ht="15.75" customHeight="1">
      <c r="B15" s="1" t="s">
        <v>461</v>
      </c>
      <c r="C15" s="1">
        <v>6.58</v>
      </c>
      <c r="F15" s="7" t="s">
        <v>462</v>
      </c>
      <c r="G15" s="168">
        <f>'ACT 3'!J4</f>
        <v>126.52100068226807</v>
      </c>
      <c r="H15" s="168">
        <f>'ACT 3'!K4</f>
        <v>11.754180526384751</v>
      </c>
      <c r="K15" s="162">
        <v>0.2112</v>
      </c>
      <c r="O15" s="472"/>
      <c r="P15" s="472"/>
      <c r="Q15" s="472"/>
      <c r="R15" s="472"/>
      <c r="S15" s="472"/>
      <c r="U15" s="474"/>
      <c r="V15" s="474"/>
      <c r="W15" s="471"/>
      <c r="X15" s="471"/>
      <c r="Y15" s="471"/>
      <c r="Z15" s="471"/>
      <c r="AB15" s="15"/>
      <c r="AC15" s="15" t="s">
        <v>463</v>
      </c>
      <c r="AD15" s="15" t="s">
        <v>464</v>
      </c>
    </row>
    <row r="16" spans="2:33" ht="17.25" customHeight="1">
      <c r="F16" s="7" t="s">
        <v>465</v>
      </c>
      <c r="G16" s="168">
        <f>'ACT 3'!W4</f>
        <v>8.8564700477587657</v>
      </c>
      <c r="H16" s="168">
        <f>'ACT 3'!X4</f>
        <v>0.8227926368469326</v>
      </c>
      <c r="K16" s="162">
        <v>0.29189999999999999</v>
      </c>
      <c r="O16" s="472" t="s">
        <v>49</v>
      </c>
      <c r="P16" s="471" t="s">
        <v>458</v>
      </c>
      <c r="Q16" s="470">
        <v>8.0000000000000002E-3</v>
      </c>
      <c r="R16" s="470">
        <v>1.6760999999999999</v>
      </c>
      <c r="S16" s="473">
        <f>Q16*R16</f>
        <v>1.34088E-2</v>
      </c>
      <c r="U16" s="474" t="s">
        <v>49</v>
      </c>
      <c r="V16" s="474"/>
      <c r="W16" s="471" t="s">
        <v>458</v>
      </c>
      <c r="X16" s="470">
        <v>8.0000000000000002E-3</v>
      </c>
      <c r="Y16" s="470">
        <v>1.6760999999999999</v>
      </c>
      <c r="Z16" s="470">
        <f>X16*Y16</f>
        <v>1.34088E-2</v>
      </c>
      <c r="AB16" s="307"/>
      <c r="AC16" s="15" t="s">
        <v>103</v>
      </c>
      <c r="AD16" s="15" t="s">
        <v>466</v>
      </c>
    </row>
    <row r="17" spans="2:30" ht="14.25" customHeight="1">
      <c r="F17" s="7" t="s">
        <v>467</v>
      </c>
      <c r="G17" s="168">
        <f>'ACT 3'!T15</f>
        <v>14.406800606243626</v>
      </c>
      <c r="H17" s="168">
        <f>'ACT 3'!U15</f>
        <v>1.3384349967218516</v>
      </c>
      <c r="K17" s="162">
        <v>2.53E-2</v>
      </c>
      <c r="O17" s="472"/>
      <c r="P17" s="472"/>
      <c r="Q17" s="472"/>
      <c r="R17" s="472"/>
      <c r="S17" s="472"/>
      <c r="U17" s="474"/>
      <c r="V17" s="474"/>
      <c r="W17" s="471"/>
      <c r="X17" s="471"/>
      <c r="Y17" s="471"/>
      <c r="Z17" s="471"/>
      <c r="AB17" s="15" t="s">
        <v>468</v>
      </c>
      <c r="AC17" s="15" t="s">
        <v>469</v>
      </c>
      <c r="AD17" s="15" t="s">
        <v>470</v>
      </c>
    </row>
    <row r="18" spans="2:30" ht="16.5" customHeight="1">
      <c r="F18" s="146" t="s">
        <v>50</v>
      </c>
      <c r="G18" s="145">
        <f>(1/0.092903)*H18</f>
        <v>10.832804107509983</v>
      </c>
      <c r="H18" s="145">
        <v>1.0064</v>
      </c>
      <c r="K18" s="162">
        <v>3.5000000000000001E-3</v>
      </c>
      <c r="O18" s="169"/>
      <c r="P18" s="471" t="s">
        <v>471</v>
      </c>
      <c r="Q18" s="470">
        <v>0.69</v>
      </c>
      <c r="R18" s="470">
        <v>0.1135</v>
      </c>
      <c r="S18" s="473">
        <f>Q18*R18</f>
        <v>7.8314999999999996E-2</v>
      </c>
      <c r="U18" s="475"/>
      <c r="V18" s="475"/>
      <c r="W18" s="471" t="s">
        <v>471</v>
      </c>
      <c r="X18" s="470">
        <v>0.69</v>
      </c>
      <c r="Y18" s="470">
        <v>0.1135</v>
      </c>
      <c r="Z18" s="470">
        <v>7.8E-2</v>
      </c>
    </row>
    <row r="19" spans="2:30" ht="30.75" customHeight="1">
      <c r="B19" s="1" t="s">
        <v>47</v>
      </c>
      <c r="C19" s="1">
        <f t="array" ref="C19:D19">'ACT 3'!F3:G3</f>
        <v>748.08757930198965</v>
      </c>
      <c r="D19" s="1">
        <v>0</v>
      </c>
      <c r="F19" s="146" t="s">
        <v>49</v>
      </c>
      <c r="G19" s="145">
        <f>(1/0.092903)*H19</f>
        <v>0.86864794463042105</v>
      </c>
      <c r="H19" s="170">
        <f>'ACT 6'!E52</f>
        <v>8.0700000000000008E-2</v>
      </c>
      <c r="K19" s="1">
        <f>SUM(K14:K18)</f>
        <v>0.63279999999999992</v>
      </c>
      <c r="L19" s="1">
        <f>K19*2</f>
        <v>1.2655999999999998</v>
      </c>
      <c r="O19" s="171" t="s">
        <v>472</v>
      </c>
      <c r="P19" s="471"/>
      <c r="Q19" s="471"/>
      <c r="R19" s="471"/>
      <c r="S19" s="471"/>
      <c r="U19" s="476" t="s">
        <v>472</v>
      </c>
      <c r="V19" s="476"/>
      <c r="W19" s="471"/>
      <c r="X19" s="471"/>
      <c r="Y19" s="471"/>
      <c r="Z19" s="471"/>
    </row>
    <row r="20" spans="2:30" ht="29.25" customHeight="1">
      <c r="C20" s="1">
        <f t="array" ref="C20:D20">'ACT 3'!F2:G2</f>
        <v>1649.2521457653345</v>
      </c>
      <c r="D20" s="1">
        <v>0</v>
      </c>
      <c r="O20" s="362"/>
      <c r="P20" s="471" t="s">
        <v>473</v>
      </c>
      <c r="Q20" s="470">
        <v>0.42</v>
      </c>
      <c r="R20" s="470">
        <v>0.11899999999999999</v>
      </c>
      <c r="S20" s="473">
        <f>Q20*R20</f>
        <v>4.9979999999999997E-2</v>
      </c>
      <c r="U20" s="477"/>
      <c r="V20" s="477"/>
      <c r="W20" s="471" t="s">
        <v>474</v>
      </c>
      <c r="X20" s="470">
        <v>0.42</v>
      </c>
      <c r="Y20" s="470">
        <v>0.11899999999999999</v>
      </c>
      <c r="Z20" s="470">
        <v>0.05</v>
      </c>
    </row>
    <row r="21" spans="2:30" ht="15.75" customHeight="1">
      <c r="O21" s="361"/>
      <c r="P21" s="471"/>
      <c r="Q21" s="471"/>
      <c r="R21" s="471"/>
      <c r="S21" s="471"/>
      <c r="U21" s="478"/>
      <c r="V21" s="478"/>
      <c r="W21" s="471"/>
      <c r="X21" s="471"/>
      <c r="Y21" s="471"/>
      <c r="Z21" s="471"/>
    </row>
    <row r="22" spans="2:30" ht="15.75" customHeight="1">
      <c r="O22" s="482" t="s">
        <v>475</v>
      </c>
      <c r="P22" s="482"/>
      <c r="Q22" s="482"/>
      <c r="R22" s="482"/>
      <c r="S22" s="172">
        <f>SUM(S10:S21)</f>
        <v>0.3918102</v>
      </c>
      <c r="U22" s="474" t="s">
        <v>103</v>
      </c>
      <c r="V22" s="471" t="s">
        <v>476</v>
      </c>
      <c r="W22" s="471"/>
      <c r="X22" s="470">
        <v>2.1999999999999999E-2</v>
      </c>
      <c r="Y22" s="470">
        <v>1.3839999999999999</v>
      </c>
      <c r="Z22" s="473">
        <f>X22*Y22</f>
        <v>3.0447999999999996E-2</v>
      </c>
    </row>
    <row r="23" spans="2:30" ht="15" customHeight="1">
      <c r="O23" s="479" t="s">
        <v>477</v>
      </c>
      <c r="P23" s="479"/>
      <c r="Q23" s="479"/>
      <c r="R23" s="479"/>
      <c r="S23" s="480">
        <f>S22*0.05</f>
        <v>1.9590510000000002E-2</v>
      </c>
      <c r="U23" s="474"/>
      <c r="V23" s="471"/>
      <c r="W23" s="471"/>
      <c r="X23" s="470"/>
      <c r="Y23" s="470"/>
      <c r="Z23" s="470"/>
    </row>
    <row r="24" spans="2:30" ht="15.75" customHeight="1">
      <c r="O24" s="481" t="s">
        <v>478</v>
      </c>
      <c r="P24" s="481"/>
      <c r="Q24" s="481"/>
      <c r="R24" s="481"/>
      <c r="S24" s="480"/>
      <c r="U24" s="474"/>
      <c r="V24" s="471"/>
      <c r="W24" s="471"/>
      <c r="X24" s="470"/>
      <c r="Y24" s="470"/>
      <c r="Z24" s="470"/>
    </row>
    <row r="25" spans="2:30" ht="30" customHeight="1">
      <c r="O25" s="479" t="s">
        <v>479</v>
      </c>
      <c r="P25" s="479"/>
      <c r="Q25" s="479"/>
      <c r="R25" s="479"/>
      <c r="S25" s="480">
        <f>S22*0.1</f>
        <v>3.9181020000000004E-2</v>
      </c>
      <c r="U25" s="482" t="s">
        <v>475</v>
      </c>
      <c r="V25" s="482"/>
      <c r="W25" s="482"/>
      <c r="X25" s="482"/>
      <c r="Y25" s="482"/>
      <c r="Z25" s="470">
        <f>SUM(Z10:Z24)</f>
        <v>0.42196319999999998</v>
      </c>
    </row>
    <row r="26" spans="2:30" ht="15.75" customHeight="1">
      <c r="O26" s="481" t="s">
        <v>478</v>
      </c>
      <c r="P26" s="481"/>
      <c r="Q26" s="481"/>
      <c r="R26" s="481"/>
      <c r="S26" s="480"/>
      <c r="U26" s="482"/>
      <c r="V26" s="482"/>
      <c r="W26" s="482"/>
      <c r="X26" s="482"/>
      <c r="Y26" s="482"/>
      <c r="Z26" s="470"/>
    </row>
    <row r="27" spans="2:30" ht="15.75" customHeight="1">
      <c r="O27" s="483"/>
      <c r="P27" s="483"/>
      <c r="Q27" s="486" t="s">
        <v>480</v>
      </c>
      <c r="R27" s="486"/>
      <c r="S27" s="173">
        <f>SUM(S22:S26)</f>
        <v>0.45058173000000001</v>
      </c>
      <c r="U27" s="474" t="s">
        <v>481</v>
      </c>
      <c r="V27" s="474"/>
      <c r="W27" s="474"/>
      <c r="X27" s="474"/>
      <c r="Y27" s="474"/>
      <c r="Z27" s="470">
        <f>Z25*0.05</f>
        <v>2.1098160000000001E-2</v>
      </c>
    </row>
    <row r="28" spans="2:30" ht="15.75" customHeight="1">
      <c r="U28" s="474"/>
      <c r="V28" s="474"/>
      <c r="W28" s="474"/>
      <c r="X28" s="474"/>
      <c r="Y28" s="474"/>
      <c r="Z28" s="470"/>
    </row>
    <row r="29" spans="2:30" ht="15" customHeight="1">
      <c r="U29" s="474" t="s">
        <v>482</v>
      </c>
      <c r="V29" s="474"/>
      <c r="W29" s="474"/>
      <c r="X29" s="474"/>
      <c r="Y29" s="474"/>
      <c r="Z29" s="470">
        <f>Z25*0.1</f>
        <v>4.2196320000000002E-2</v>
      </c>
    </row>
    <row r="30" spans="2:30" ht="15.75" customHeight="1">
      <c r="U30" s="474"/>
      <c r="V30" s="474"/>
      <c r="W30" s="474"/>
      <c r="X30" s="474"/>
      <c r="Y30" s="474"/>
      <c r="Z30" s="470"/>
    </row>
    <row r="31" spans="2:30" ht="15" customHeight="1">
      <c r="O31" s="1" t="s">
        <v>483</v>
      </c>
      <c r="P31" s="1">
        <f>S27/H15</f>
        <v>3.8333742534290144E-2</v>
      </c>
      <c r="U31" s="483"/>
      <c r="V31" s="483"/>
      <c r="W31" s="483"/>
      <c r="X31" s="484" t="s">
        <v>480</v>
      </c>
      <c r="Y31" s="484"/>
      <c r="Z31" s="485">
        <f>SUM(Z25:Z30)</f>
        <v>0.48525767999999997</v>
      </c>
    </row>
    <row r="32" spans="2:30" ht="15.75" customHeight="1">
      <c r="P32" s="1">
        <f>1/(3.14*6.58*0.772)</f>
        <v>6.2694170114260872E-2</v>
      </c>
      <c r="Q32" s="1" t="s">
        <v>484</v>
      </c>
      <c r="U32" s="483"/>
      <c r="V32" s="483"/>
      <c r="W32" s="483"/>
      <c r="X32" s="484"/>
      <c r="Y32" s="484"/>
      <c r="Z32" s="485"/>
    </row>
    <row r="35" spans="24:25" ht="15" customHeight="1">
      <c r="X35" s="1" t="s">
        <v>485</v>
      </c>
      <c r="Y35" s="1">
        <f>Z31/H15</f>
        <v>4.1283837602352304E-2</v>
      </c>
    </row>
  </sheetData>
  <mergeCells count="87">
    <mergeCell ref="U31:W32"/>
    <mergeCell ref="X31:Y32"/>
    <mergeCell ref="Z31:Z32"/>
    <mergeCell ref="O27:P27"/>
    <mergeCell ref="Q27:R27"/>
    <mergeCell ref="U27:Y28"/>
    <mergeCell ref="Z27:Z28"/>
    <mergeCell ref="U29:Y30"/>
    <mergeCell ref="Z29:Z30"/>
    <mergeCell ref="Z22:Z24"/>
    <mergeCell ref="O23:R23"/>
    <mergeCell ref="S23:S24"/>
    <mergeCell ref="O24:R24"/>
    <mergeCell ref="O25:R25"/>
    <mergeCell ref="S25:S26"/>
    <mergeCell ref="U25:Y26"/>
    <mergeCell ref="Z25:Z26"/>
    <mergeCell ref="O26:R26"/>
    <mergeCell ref="O22:R22"/>
    <mergeCell ref="U22:U24"/>
    <mergeCell ref="V22:W24"/>
    <mergeCell ref="X22:X24"/>
    <mergeCell ref="Y22:Y24"/>
    <mergeCell ref="W20:W21"/>
    <mergeCell ref="X20:X21"/>
    <mergeCell ref="Y20:Y21"/>
    <mergeCell ref="Z20:Z21"/>
    <mergeCell ref="U21:V21"/>
    <mergeCell ref="P20:P21"/>
    <mergeCell ref="Q20:Q21"/>
    <mergeCell ref="R20:R21"/>
    <mergeCell ref="S20:S21"/>
    <mergeCell ref="U20:V20"/>
    <mergeCell ref="W18:W19"/>
    <mergeCell ref="X18:X19"/>
    <mergeCell ref="Y18:Y19"/>
    <mergeCell ref="Z18:Z19"/>
    <mergeCell ref="U19:V19"/>
    <mergeCell ref="P18:P19"/>
    <mergeCell ref="Q18:Q19"/>
    <mergeCell ref="R18:R19"/>
    <mergeCell ref="S18:S19"/>
    <mergeCell ref="U18:V18"/>
    <mergeCell ref="U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X12:X13"/>
    <mergeCell ref="Y12:Y13"/>
    <mergeCell ref="Z12:Z13"/>
    <mergeCell ref="O14:O15"/>
    <mergeCell ref="P14:P15"/>
    <mergeCell ref="Q14:Q15"/>
    <mergeCell ref="R14:R15"/>
    <mergeCell ref="S14:S15"/>
    <mergeCell ref="U14:V15"/>
    <mergeCell ref="W14:W15"/>
    <mergeCell ref="X14:X15"/>
    <mergeCell ref="Y14:Y15"/>
    <mergeCell ref="Z14:Z15"/>
    <mergeCell ref="O12:O13"/>
    <mergeCell ref="Q12:Q13"/>
    <mergeCell ref="R12:R13"/>
    <mergeCell ref="S12:S13"/>
    <mergeCell ref="U12:V13"/>
    <mergeCell ref="U10:V11"/>
    <mergeCell ref="W10:W11"/>
    <mergeCell ref="W12:W13"/>
    <mergeCell ref="X10:X11"/>
    <mergeCell ref="Y10:Y11"/>
    <mergeCell ref="Z10:Z11"/>
    <mergeCell ref="O10:O11"/>
    <mergeCell ref="P10:P11"/>
    <mergeCell ref="Q10:Q11"/>
    <mergeCell ref="R10:R11"/>
    <mergeCell ref="S10:S11"/>
    <mergeCell ref="O7:S7"/>
    <mergeCell ref="U7:Z7"/>
    <mergeCell ref="U8:V8"/>
    <mergeCell ref="O9:Q9"/>
    <mergeCell ref="U9:W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S27"/>
  <sheetViews>
    <sheetView topLeftCell="A14" zoomScale="70" zoomScaleNormal="70" workbookViewId="0">
      <selection activeCell="Q12" sqref="Q12"/>
    </sheetView>
  </sheetViews>
  <sheetFormatPr defaultColWidth="8.85546875" defaultRowHeight="21"/>
  <cols>
    <col min="1" max="1" width="8.85546875" style="174"/>
    <col min="2" max="3" width="18.7109375" style="174" customWidth="1"/>
    <col min="4" max="4" width="13" style="174" customWidth="1"/>
    <col min="5" max="5" width="17.28515625" style="174" customWidth="1"/>
    <col min="6" max="10" width="10.85546875" style="174" customWidth="1"/>
    <col min="11" max="11" width="8.85546875" style="174"/>
    <col min="12" max="19" width="13.7109375" style="174" customWidth="1"/>
    <col min="20" max="16384" width="8.85546875" style="174"/>
  </cols>
  <sheetData>
    <row r="1" spans="2:19" ht="23.25" customHeight="1">
      <c r="G1" s="487" t="s">
        <v>19</v>
      </c>
      <c r="H1" s="487"/>
      <c r="I1" s="487"/>
    </row>
    <row r="3" spans="2:19" ht="15.75" customHeight="1">
      <c r="B3" s="11"/>
      <c r="C3" s="446" t="s">
        <v>486</v>
      </c>
      <c r="D3" s="446"/>
      <c r="F3" s="175" t="s">
        <v>193</v>
      </c>
      <c r="G3" s="175" t="s">
        <v>194</v>
      </c>
      <c r="H3" s="175" t="s">
        <v>195</v>
      </c>
      <c r="I3" s="175" t="s">
        <v>196</v>
      </c>
      <c r="J3" s="175" t="s">
        <v>197</v>
      </c>
      <c r="L3" s="175" t="s">
        <v>198</v>
      </c>
      <c r="M3" s="175" t="s">
        <v>199</v>
      </c>
      <c r="N3" s="175" t="s">
        <v>200</v>
      </c>
      <c r="O3" s="175" t="s">
        <v>201</v>
      </c>
      <c r="P3" s="175" t="s">
        <v>202</v>
      </c>
      <c r="Q3" s="175" t="s">
        <v>207</v>
      </c>
      <c r="R3" s="175" t="s">
        <v>208</v>
      </c>
      <c r="S3" s="175" t="s">
        <v>209</v>
      </c>
    </row>
    <row r="4" spans="2:19" ht="16.5" customHeight="1">
      <c r="B4" s="176"/>
      <c r="C4" s="446" t="s">
        <v>487</v>
      </c>
      <c r="D4" s="446"/>
      <c r="F4" s="488" t="s">
        <v>488</v>
      </c>
      <c r="G4" s="488"/>
      <c r="H4" s="488"/>
      <c r="I4" s="488"/>
      <c r="J4" s="488"/>
      <c r="L4" s="489" t="s">
        <v>489</v>
      </c>
      <c r="M4" s="489"/>
      <c r="N4" s="490" t="s">
        <v>490</v>
      </c>
      <c r="O4" s="490"/>
      <c r="P4" s="491" t="s">
        <v>491</v>
      </c>
      <c r="Q4" s="491"/>
      <c r="R4" s="492" t="s">
        <v>492</v>
      </c>
      <c r="S4" s="492"/>
    </row>
    <row r="5" spans="2:19" ht="15.75" customHeight="1">
      <c r="F5" s="175" t="s">
        <v>493</v>
      </c>
      <c r="G5" s="175" t="s">
        <v>494</v>
      </c>
      <c r="H5" s="175" t="s">
        <v>495</v>
      </c>
      <c r="I5" s="175" t="s">
        <v>496</v>
      </c>
      <c r="J5" s="175" t="s">
        <v>497</v>
      </c>
      <c r="L5" s="177" t="s">
        <v>498</v>
      </c>
      <c r="M5" s="178" t="s">
        <v>499</v>
      </c>
      <c r="N5" s="177" t="s">
        <v>498</v>
      </c>
      <c r="O5" s="178" t="s">
        <v>499</v>
      </c>
      <c r="P5" s="177" t="s">
        <v>498</v>
      </c>
      <c r="Q5" s="178" t="s">
        <v>499</v>
      </c>
      <c r="R5" s="177" t="s">
        <v>498</v>
      </c>
      <c r="S5" s="178" t="s">
        <v>499</v>
      </c>
    </row>
    <row r="6" spans="2:19" ht="16.5" customHeight="1">
      <c r="F6" s="179" t="s">
        <v>135</v>
      </c>
      <c r="G6" s="180" t="s">
        <v>445</v>
      </c>
      <c r="H6" s="180" t="s">
        <v>445</v>
      </c>
      <c r="I6" s="180" t="s">
        <v>422</v>
      </c>
      <c r="J6" s="180" t="s">
        <v>500</v>
      </c>
      <c r="L6" s="181" t="s">
        <v>135</v>
      </c>
      <c r="M6" s="182" t="s">
        <v>500</v>
      </c>
      <c r="N6" s="181" t="s">
        <v>135</v>
      </c>
      <c r="O6" s="182" t="s">
        <v>500</v>
      </c>
      <c r="P6" s="181" t="s">
        <v>135</v>
      </c>
      <c r="Q6" s="182" t="s">
        <v>500</v>
      </c>
      <c r="R6" s="181" t="s">
        <v>135</v>
      </c>
      <c r="S6" s="182" t="s">
        <v>500</v>
      </c>
    </row>
    <row r="7" spans="2:19" ht="16.5" customHeight="1">
      <c r="B7" s="183" t="s">
        <v>501</v>
      </c>
      <c r="C7" s="493" t="s">
        <v>502</v>
      </c>
      <c r="D7" s="493"/>
      <c r="F7" s="184">
        <f>C18</f>
        <v>60</v>
      </c>
      <c r="G7" s="185">
        <f>($C$8*2/((0.002377)*($C$9)*((F7*22)/15)^2))</f>
        <v>1.4163151777743155</v>
      </c>
      <c r="H7" s="185">
        <f>$C$12+($C$13*G7^2)</f>
        <v>0.16409503049384785</v>
      </c>
      <c r="I7" s="186">
        <f>$C$8*(H7/G7)</f>
        <v>191.08323161282334</v>
      </c>
      <c r="J7" s="186">
        <f>(I7*F7)/375</f>
        <v>30.573317058051732</v>
      </c>
      <c r="L7" s="187">
        <f>F7/SQRT($C$24)</f>
        <v>64.638241295322061</v>
      </c>
      <c r="M7" s="188">
        <f>J7/SQRT($C$24)</f>
        <v>32.936757419945558</v>
      </c>
      <c r="N7" s="187">
        <f>F7/SQRT($C$25)</f>
        <v>69.823142530029941</v>
      </c>
      <c r="O7" s="188">
        <f>J7/SQRT($C$25)</f>
        <v>35.578751242669028</v>
      </c>
      <c r="P7" s="187">
        <f>F7/SQRT($C$26)</f>
        <v>75.643030714142327</v>
      </c>
      <c r="Q7" s="188">
        <f>J7/SQRT($C$26)</f>
        <v>38.544306020923649</v>
      </c>
      <c r="R7" s="187">
        <f>F7/SQRT($C$27)</f>
        <v>82.204678830324283</v>
      </c>
      <c r="S7" s="188">
        <f>J7/SQRT($C$27)</f>
        <v>41.887828492246953</v>
      </c>
    </row>
    <row r="8" spans="2:19" ht="15.75" customHeight="1">
      <c r="B8" s="189" t="s">
        <v>503</v>
      </c>
      <c r="C8" s="494">
        <f>'ACT 3'!F2</f>
        <v>1649.2521457653345</v>
      </c>
      <c r="D8" s="494"/>
      <c r="F8" s="184">
        <f>F7+10</f>
        <v>70</v>
      </c>
      <c r="G8" s="185">
        <f>($C$8*2/((0.002377)*($C$9)*((F8*22)/15)^2))</f>
        <v>1.0405580897933746</v>
      </c>
      <c r="H8" s="185">
        <f>$C$12+($C$13*G8^2)</f>
        <v>0.10621655352787064</v>
      </c>
      <c r="I8" s="186">
        <f>$C$8*(H8/G8)</f>
        <v>168.34992735141248</v>
      </c>
      <c r="J8" s="186">
        <f>(I8*F8)/375</f>
        <v>31.425319772263663</v>
      </c>
      <c r="L8" s="187">
        <f>F8/SQRT($C$24)</f>
        <v>75.411281511209069</v>
      </c>
      <c r="M8" s="188">
        <f>J8/SQRT($C$24)</f>
        <v>33.854623370370561</v>
      </c>
      <c r="N8" s="187">
        <f>F8/SQRT($C$25)</f>
        <v>81.460332951701602</v>
      </c>
      <c r="O8" s="188">
        <f>J8/SQRT($C$25)</f>
        <v>36.570243025175564</v>
      </c>
      <c r="P8" s="187">
        <f>F8/SQRT($C$26)</f>
        <v>88.250202499832724</v>
      </c>
      <c r="Q8" s="188">
        <f>J8/SQRT($C$26)</f>
        <v>39.618440478918075</v>
      </c>
      <c r="R8" s="187">
        <f>F8/SQRT($C$27)</f>
        <v>95.905458635378324</v>
      </c>
      <c r="S8" s="188">
        <f>J8/SQRT($C$27)</f>
        <v>43.055138650319563</v>
      </c>
    </row>
    <row r="9" spans="2:19" ht="15.75" customHeight="1">
      <c r="B9" s="189" t="s">
        <v>504</v>
      </c>
      <c r="C9" s="494">
        <f>'ACT 3'!J4</f>
        <v>126.52100068226807</v>
      </c>
      <c r="D9" s="494"/>
      <c r="F9" s="184">
        <f>F8+10</f>
        <v>80</v>
      </c>
      <c r="G9" s="185">
        <f>($C$8*2/((0.002377)*($C$9)*((F9*22)/15)^2))</f>
        <v>0.79667728749805256</v>
      </c>
      <c r="H9" s="185">
        <f>$C$12+($C$13*G9^2)</f>
        <v>7.812540005274396E-2</v>
      </c>
      <c r="I9" s="186">
        <f>$C$8*(H9/G9)</f>
        <v>161.73234218890431</v>
      </c>
      <c r="J9" s="186">
        <f>(I9*F9)/375</f>
        <v>34.502899666966258</v>
      </c>
      <c r="L9" s="187">
        <f>F9/SQRT($C$24)</f>
        <v>86.184321727096076</v>
      </c>
      <c r="M9" s="188">
        <f>J9/SQRT($C$24)</f>
        <v>37.170112567694197</v>
      </c>
      <c r="N9" s="187">
        <f>F9/SQRT($C$25)</f>
        <v>93.097523373373249</v>
      </c>
      <c r="O9" s="188">
        <f>J9/SQRT($C$25)</f>
        <v>40.151681352431794</v>
      </c>
      <c r="P9" s="187">
        <f>F9/SQRT($C$26)</f>
        <v>100.85737428552311</v>
      </c>
      <c r="Q9" s="188">
        <f>J9/SQRT($C$26)</f>
        <v>43.498398320588329</v>
      </c>
      <c r="R9" s="187">
        <f>F9/SQRT($C$27)</f>
        <v>109.60623844043236</v>
      </c>
      <c r="S9" s="188">
        <f>J9/SQRT($C$27)</f>
        <v>47.271663097297726</v>
      </c>
    </row>
    <row r="10" spans="2:19" ht="16.5" customHeight="1">
      <c r="B10" s="190" t="s">
        <v>505</v>
      </c>
      <c r="C10" s="495">
        <v>1.54</v>
      </c>
      <c r="D10" s="495"/>
      <c r="F10" s="184">
        <f>F9+10</f>
        <v>90</v>
      </c>
      <c r="G10" s="185">
        <f>($C$8*2/((0.002377)*($C$9)*((F10*22)/15)^2))</f>
        <v>0.62947341234414023</v>
      </c>
      <c r="H10" s="185">
        <f>$C$12+($C$13*G10^2)</f>
        <v>6.3175478427536111E-2</v>
      </c>
      <c r="I10" s="186">
        <f>$C$8*(H10/G10)</f>
        <v>165.52294554960875</v>
      </c>
      <c r="J10" s="186">
        <f>(I10*F10)/375</f>
        <v>39.725506931906104</v>
      </c>
      <c r="L10" s="187">
        <f>F10/SQRT($C$24)</f>
        <v>96.957361942983084</v>
      </c>
      <c r="M10" s="188">
        <f>J10/SQRT($C$24)</f>
        <v>42.796448377392259</v>
      </c>
      <c r="N10" s="187">
        <f>F10/SQRT($C$25)</f>
        <v>104.73471379504491</v>
      </c>
      <c r="O10" s="188">
        <f>J10/SQRT($C$25)</f>
        <v>46.229328876402874</v>
      </c>
      <c r="P10" s="187">
        <f>F10/SQRT($C$26)</f>
        <v>113.46454607121349</v>
      </c>
      <c r="Q10" s="188">
        <f>J10/SQRT($C$26)</f>
        <v>50.082629016417457</v>
      </c>
      <c r="R10" s="187">
        <f>F10/SQRT($C$27)</f>
        <v>123.30701824548642</v>
      </c>
      <c r="S10" s="188">
        <f>J10/SQRT($C$27)</f>
        <v>54.42704231181937</v>
      </c>
    </row>
    <row r="11" spans="2:19" ht="16.5" customHeight="1">
      <c r="B11" s="496" t="s">
        <v>506</v>
      </c>
      <c r="C11" s="496"/>
      <c r="D11" s="496"/>
      <c r="F11" s="184">
        <f>F10+10</f>
        <v>100</v>
      </c>
      <c r="G11" s="185">
        <f>($C$8*2/((0.002377)*($C$9)*((F11*22)/15)^2))</f>
        <v>0.50987346399875355</v>
      </c>
      <c r="H11" s="185">
        <f>$C$12+($C$13*G11^2)</f>
        <v>5.4632405453848822E-2</v>
      </c>
      <c r="I11" s="186">
        <f>$C$8*(H11/G11)</f>
        <v>176.71563296595133</v>
      </c>
      <c r="J11" s="186">
        <f>(I11*F11)/375</f>
        <v>47.124168790920358</v>
      </c>
      <c r="L11" s="187">
        <f>F11/SQRT($C$24)</f>
        <v>107.73040215887009</v>
      </c>
      <c r="M11" s="188">
        <f>J11/SQRT($C$24)</f>
        <v>50.767056552483254</v>
      </c>
      <c r="N11" s="187">
        <f>F11/SQRT($C$25)</f>
        <v>116.37190421671657</v>
      </c>
      <c r="O11" s="188">
        <f>J11/SQRT($C$25)</f>
        <v>54.839292568293679</v>
      </c>
      <c r="P11" s="187">
        <f>F11/SQRT($C$26)</f>
        <v>126.07171785690389</v>
      </c>
      <c r="Q11" s="188">
        <f>J11/SQRT($C$26)</f>
        <v>59.410249120500268</v>
      </c>
      <c r="R11" s="187">
        <f>F11/SQRT($C$27)</f>
        <v>137.00779805054046</v>
      </c>
      <c r="S11" s="188">
        <f>J11/SQRT($C$27)</f>
        <v>64.563786010059985</v>
      </c>
    </row>
    <row r="12" spans="2:19" ht="15.75" customHeight="1">
      <c r="B12" s="191" t="s">
        <v>483</v>
      </c>
      <c r="C12" s="497">
        <f>'ACT 9'!P31</f>
        <v>3.8333742534290144E-2</v>
      </c>
      <c r="D12" s="497"/>
      <c r="F12" s="184">
        <f>F11+10</f>
        <v>110</v>
      </c>
      <c r="G12" s="185">
        <f>($C$8*2/((0.002377)*($C$9)*((F12*22)/15)^2))</f>
        <v>0.42138302809814338</v>
      </c>
      <c r="H12" s="185">
        <f>$C$12+($C$13*G12^2)</f>
        <v>4.9465948612808466E-2</v>
      </c>
      <c r="I12" s="186">
        <f>$C$8*(H12/G12)</f>
        <v>193.60490682361109</v>
      </c>
      <c r="J12" s="186">
        <f>(I12*F12)/375</f>
        <v>56.790772668259258</v>
      </c>
      <c r="L12" s="187">
        <f>F12/SQRT($C$24)</f>
        <v>118.5034423747571</v>
      </c>
      <c r="M12" s="188">
        <f>J12/SQRT($C$24)</f>
        <v>61.180927784645377</v>
      </c>
      <c r="N12" s="187">
        <f>F12/SQRT($C$25)</f>
        <v>128.00909463838823</v>
      </c>
      <c r="O12" s="188">
        <f>J12/SQRT($C$25)</f>
        <v>66.088503573439922</v>
      </c>
      <c r="P12" s="187">
        <f>F12/SQRT($C$26)</f>
        <v>138.67888964259427</v>
      </c>
      <c r="Q12" s="188">
        <f>J12/SQRT($C$26)</f>
        <v>71.597102687083492</v>
      </c>
      <c r="R12" s="187">
        <f>F12/SQRT($C$27)</f>
        <v>150.70857785559451</v>
      </c>
      <c r="S12" s="188">
        <f>J12/SQRT($C$27)</f>
        <v>77.807787128670171</v>
      </c>
    </row>
    <row r="13" spans="2:19" ht="15.75" customHeight="1">
      <c r="B13" s="189" t="s">
        <v>507</v>
      </c>
      <c r="C13" s="192">
        <f>'ACT 9'!P32</f>
        <v>6.2694170114260872E-2</v>
      </c>
      <c r="D13" s="193" t="s">
        <v>508</v>
      </c>
      <c r="F13" s="184">
        <f>F12+10</f>
        <v>120</v>
      </c>
      <c r="G13" s="185">
        <f>($C$8*2/((0.002377)*($C$9)*((F13*22)/15)^2))</f>
        <v>0.35407879444357887</v>
      </c>
      <c r="H13" s="185">
        <f>$C$12+($C$13*G13^2)</f>
        <v>4.6193823031762504E-2</v>
      </c>
      <c r="I13" s="186">
        <f>$C$8*(H13/G13)</f>
        <v>215.16471178671017</v>
      </c>
      <c r="J13" s="186">
        <f>(I13*F13)/375</f>
        <v>68.852707771747262</v>
      </c>
      <c r="L13" s="187">
        <f>F13/SQRT($C$24)</f>
        <v>129.27648259064412</v>
      </c>
      <c r="M13" s="188">
        <f>J13/SQRT($C$24)</f>
        <v>74.175298979774922</v>
      </c>
      <c r="N13" s="187">
        <f>F13/SQRT($C$25)</f>
        <v>139.64628506005988</v>
      </c>
      <c r="O13" s="188">
        <f>J13/SQRT($C$25)</f>
        <v>80.125207138753495</v>
      </c>
      <c r="P13" s="187">
        <f>F13/SQRT($C$26)</f>
        <v>151.28606142828465</v>
      </c>
      <c r="Q13" s="188">
        <f>J13/SQRT($C$26)</f>
        <v>86.803791478835748</v>
      </c>
      <c r="R13" s="187">
        <f>F13/SQRT($C$27)</f>
        <v>164.40935766064857</v>
      </c>
      <c r="S13" s="188">
        <f>J13/SQRT($C$27)</f>
        <v>94.33357881624427</v>
      </c>
    </row>
    <row r="14" spans="2:19" ht="15.75" customHeight="1">
      <c r="F14" s="184">
        <f>F13+10</f>
        <v>130</v>
      </c>
      <c r="G14" s="185">
        <f>($C$8*2/((0.002377)*($C$9)*((F14*22)/15)^2))</f>
        <v>0.30170027455547549</v>
      </c>
      <c r="H14" s="185">
        <f>$C$12+($C$13*G14^2)</f>
        <v>4.4040357470587432E-2</v>
      </c>
      <c r="I14" s="186">
        <f>$C$8*(H14/G14)</f>
        <v>240.74772277107462</v>
      </c>
      <c r="J14" s="186">
        <f>(I14*F14)/375</f>
        <v>83.459210560639207</v>
      </c>
      <c r="L14" s="187">
        <f>F14/SQRT($C$24)</f>
        <v>140.04952280653112</v>
      </c>
      <c r="M14" s="188">
        <f>J14/SQRT($C$24)</f>
        <v>89.910943175594795</v>
      </c>
      <c r="N14" s="187">
        <f>F14/SQRT($C$25)</f>
        <v>151.28347548173153</v>
      </c>
      <c r="O14" s="188">
        <f>J14/SQRT($C$25)</f>
        <v>97.123072573654852</v>
      </c>
      <c r="P14" s="187">
        <f>F14/SQRT($C$26)</f>
        <v>163.89323321397504</v>
      </c>
      <c r="Q14" s="188">
        <f>J14/SQRT($C$26)</f>
        <v>105.21846046360839</v>
      </c>
      <c r="R14" s="187">
        <f>F14/SQRT($C$27)</f>
        <v>178.11013746570259</v>
      </c>
      <c r="S14" s="188">
        <f>J14/SQRT($C$27)</f>
        <v>114.34562665949591</v>
      </c>
    </row>
    <row r="15" spans="2:19" ht="15.75" customHeight="1">
      <c r="F15" s="184">
        <f>F14+10</f>
        <v>140</v>
      </c>
      <c r="G15" s="185">
        <f>($C$8*2/((0.002377)*($C$9)*((F15*22)/15)^2))</f>
        <v>0.26013952244834365</v>
      </c>
      <c r="H15" s="185">
        <f>$C$12+($C$13*G15^2)</f>
        <v>4.2576418221388926E-2</v>
      </c>
      <c r="I15" s="186">
        <f>$C$8*(H15/G15)</f>
        <v>269.92918434595623</v>
      </c>
      <c r="J15" s="186">
        <f>(I15*F15)/375</f>
        <v>100.77356215582365</v>
      </c>
      <c r="L15" s="187">
        <f>F15/SQRT($C$24)</f>
        <v>150.82256302241814</v>
      </c>
      <c r="M15" s="188">
        <f>J15/SQRT($C$24)</f>
        <v>108.56376378028774</v>
      </c>
      <c r="N15" s="187">
        <f>F15/SQRT($C$25)</f>
        <v>162.9206659034032</v>
      </c>
      <c r="O15" s="188">
        <f>J15/SQRT($C$25)</f>
        <v>117.27211322774843</v>
      </c>
      <c r="P15" s="187">
        <f>F15/SQRT($C$26)</f>
        <v>176.50040499966545</v>
      </c>
      <c r="Q15" s="188">
        <f>J15/SQRT($C$26)</f>
        <v>127.04696095544166</v>
      </c>
      <c r="R15" s="187">
        <f>F15/SQRT($C$27)</f>
        <v>191.81091727075665</v>
      </c>
      <c r="S15" s="188">
        <f>J15/SQRT($C$27)</f>
        <v>138.06763852678674</v>
      </c>
    </row>
    <row r="16" spans="2:19" ht="15.75" customHeight="1">
      <c r="B16" s="194" t="s">
        <v>509</v>
      </c>
      <c r="C16" s="185">
        <f>SQRT((C8/C9)*(2/0.002377)*(1/C10))*(15/22)</f>
        <v>57.54013077272726</v>
      </c>
      <c r="D16" s="174">
        <f>SQRT((C8/C9)*(2/0.002377)*(1/C10))</f>
        <v>84.392191799999992</v>
      </c>
      <c r="F16" s="184">
        <f>F15+10</f>
        <v>150</v>
      </c>
      <c r="G16" s="185">
        <f>($C$8*2/((0.002377)*($C$9)*((F16*22)/15)^2))</f>
        <v>0.22661042844389045</v>
      </c>
      <c r="H16" s="185">
        <f>$C$12+($C$13*G16^2)</f>
        <v>4.1553231506054819E-2</v>
      </c>
      <c r="I16" s="186">
        <f>$C$8*(H16/G16)</f>
        <v>302.42101696486276</v>
      </c>
      <c r="J16" s="186">
        <f>(I16*F16)/375</f>
        <v>120.96840678594509</v>
      </c>
      <c r="L16" s="187">
        <f>F16/SQRT($C$24)</f>
        <v>161.59560323830513</v>
      </c>
      <c r="M16" s="188">
        <f>J16/SQRT($C$24)</f>
        <v>130.31975111567655</v>
      </c>
      <c r="N16" s="187">
        <f>F16/SQRT($C$25)</f>
        <v>174.55785632507485</v>
      </c>
      <c r="O16" s="188">
        <f>J16/SQRT($C$25)</f>
        <v>140.77323847742809</v>
      </c>
      <c r="P16" s="187">
        <f>F16/SQRT($C$26)</f>
        <v>189.10757678535583</v>
      </c>
      <c r="Q16" s="188">
        <f>J16/SQRT($C$26)</f>
        <v>152.50694849916846</v>
      </c>
      <c r="R16" s="187">
        <f>F16/SQRT($C$27)</f>
        <v>205.5116970758107</v>
      </c>
      <c r="S16" s="188">
        <f>J16/SQRT($C$27)</f>
        <v>165.73615047424394</v>
      </c>
    </row>
    <row r="17" spans="2:19" ht="15.75" customHeight="1">
      <c r="B17" s="498" t="s">
        <v>510</v>
      </c>
      <c r="C17" s="498"/>
      <c r="F17" s="184">
        <f>F16+10</f>
        <v>160</v>
      </c>
      <c r="G17" s="185">
        <f>($C$8*2/((0.002377)*($C$9)*((F17*22)/15)^2))</f>
        <v>0.19916932187451314</v>
      </c>
      <c r="H17" s="185">
        <f>$C$12+($C$13*G17^2)</f>
        <v>4.0820721129193507E-2</v>
      </c>
      <c r="I17" s="186">
        <f>$C$8*(H17/G17)</f>
        <v>338.02224800678931</v>
      </c>
      <c r="J17" s="186">
        <f>(I17*F17)/375</f>
        <v>144.22282581623011</v>
      </c>
      <c r="L17" s="187">
        <f>F17/SQRT($C$24)</f>
        <v>172.36864345419215</v>
      </c>
      <c r="M17" s="188">
        <f>J17/SQRT($C$24)</f>
        <v>155.37183025671141</v>
      </c>
      <c r="N17" s="187">
        <f>F17/SQRT($C$25)</f>
        <v>186.1950467467465</v>
      </c>
      <c r="O17" s="188">
        <f>J17/SQRT($C$25)</f>
        <v>167.83484871750528</v>
      </c>
      <c r="P17" s="187">
        <f>F17/SQRT($C$26)</f>
        <v>201.71474857104621</v>
      </c>
      <c r="Q17" s="188">
        <f>J17/SQRT($C$26)</f>
        <v>181.82419404829156</v>
      </c>
      <c r="R17" s="187">
        <f>F17/SQRT($C$27)</f>
        <v>219.21247688086473</v>
      </c>
      <c r="S17" s="188">
        <f>J17/SQRT($C$27)</f>
        <v>197.59651793708329</v>
      </c>
    </row>
    <row r="18" spans="2:19" ht="15.75" customHeight="1">
      <c r="B18" s="194" t="s">
        <v>511</v>
      </c>
      <c r="C18" s="184">
        <f>ROUND(C16, -1)</f>
        <v>60</v>
      </c>
      <c r="F18" s="184">
        <f>F17+10</f>
        <v>170</v>
      </c>
      <c r="G18" s="185">
        <f>($C$8*2/((0.002377)*($C$9)*((F18*22)/15)^2))</f>
        <v>0.17642680415181783</v>
      </c>
      <c r="H18" s="185">
        <f>$C$12+($C$13*G18^2)</f>
        <v>4.0285187430730403E-2</v>
      </c>
      <c r="I18" s="186">
        <f>$C$8*(H18/G18)</f>
        <v>376.5892157493135</v>
      </c>
      <c r="J18" s="186">
        <f>(I18*F18)/375</f>
        <v>170.7204444730221</v>
      </c>
      <c r="K18" s="34"/>
      <c r="L18" s="187">
        <f>F18/SQRT($C$24)</f>
        <v>183.14168367007915</v>
      </c>
      <c r="M18" s="188">
        <f>J18/SQRT($C$24)</f>
        <v>183.91782139819722</v>
      </c>
      <c r="N18" s="187">
        <f>F18/SQRT($C$25)</f>
        <v>197.83223716841817</v>
      </c>
      <c r="O18" s="188">
        <f>J18/SQRT($C$25)</f>
        <v>198.67063212049808</v>
      </c>
      <c r="P18" s="187">
        <f>F18/SQRT($C$26)</f>
        <v>214.3219203567366</v>
      </c>
      <c r="Q18" s="188">
        <f>J18/SQRT($C$26)</f>
        <v>215.23019708008067</v>
      </c>
      <c r="R18" s="187">
        <f>F18/SQRT($C$27)</f>
        <v>232.91325668591878</v>
      </c>
      <c r="S18" s="188">
        <f>J18/SQRT($C$27)</f>
        <v>233.90032179458319</v>
      </c>
    </row>
    <row r="19" spans="2:19" ht="15.75" customHeight="1">
      <c r="F19" s="184">
        <f>F18+10</f>
        <v>180</v>
      </c>
      <c r="G19" s="185">
        <f>($C$8*2/((0.002377)*($C$9)*((F19*22)/15)^2))</f>
        <v>0.15736835308603506</v>
      </c>
      <c r="H19" s="185">
        <f>$C$12+($C$13*G19^2)</f>
        <v>3.9886351027618019E-2</v>
      </c>
      <c r="I19" s="186">
        <f>$C$8*(H19/G19)</f>
        <v>418.01702012528688</v>
      </c>
      <c r="J19" s="186">
        <f>(I19*F19)/375</f>
        <v>200.64816966013768</v>
      </c>
      <c r="K19" s="34"/>
      <c r="L19" s="187">
        <f>F19/SQRT($C$24)</f>
        <v>193.91472388596617</v>
      </c>
      <c r="M19" s="188">
        <f>J19/SQRT($C$24)</f>
        <v>216.1590800992783</v>
      </c>
      <c r="N19" s="187">
        <f>F19/SQRT($C$25)</f>
        <v>209.46942759008982</v>
      </c>
      <c r="O19" s="188">
        <f>J19/SQRT($C$25)</f>
        <v>233.49809580949037</v>
      </c>
      <c r="P19" s="187">
        <f>F19/SQRT($C$26)</f>
        <v>226.92909214242698</v>
      </c>
      <c r="Q19" s="188">
        <f>J19/SQRT($C$26)</f>
        <v>252.96059433897059</v>
      </c>
      <c r="R19" s="187">
        <f>F19/SQRT($C$27)</f>
        <v>246.61403649097284</v>
      </c>
      <c r="S19" s="188">
        <f>J19/SQRT($C$27)</f>
        <v>274.90363908006725</v>
      </c>
    </row>
    <row r="20" spans="2:19" ht="16.5" customHeight="1">
      <c r="F20" s="184">
        <f>F19+10</f>
        <v>190</v>
      </c>
      <c r="G20" s="185">
        <f>($C$8*2/((0.002377)*($C$9)*((F20*22)/15)^2))</f>
        <v>0.1412391867032558</v>
      </c>
      <c r="H20" s="185">
        <f>$C$12+($C$13*G20^2)</f>
        <v>3.958439767962809E-2</v>
      </c>
      <c r="I20" s="186">
        <f>$C$8*(H20/G20)</f>
        <v>462.22761781486554</v>
      </c>
      <c r="J20" s="186">
        <f>(I20*F20)/375</f>
        <v>234.19532635953189</v>
      </c>
      <c r="L20" s="187">
        <f>F20/SQRT($C$24)</f>
        <v>204.68776410185316</v>
      </c>
      <c r="M20" s="188">
        <f>J20/SQRT($C$24)</f>
        <v>252.299566924402</v>
      </c>
      <c r="N20" s="187">
        <f>F20/SQRT($C$25)</f>
        <v>221.10661801176147</v>
      </c>
      <c r="O20" s="188">
        <f>J20/SQRT($C$25)</f>
        <v>272.53756087114124</v>
      </c>
      <c r="P20" s="187">
        <f>F20/SQRT($C$26)</f>
        <v>239.53626392811739</v>
      </c>
      <c r="Q20" s="188">
        <f>J20/SQRT($C$26)</f>
        <v>295.25407108204428</v>
      </c>
      <c r="R20" s="187">
        <f>F20/SQRT($C$27)</f>
        <v>260.31481629602689</v>
      </c>
      <c r="S20" s="188">
        <f>J20/SQRT($C$27)</f>
        <v>320.8658597824716</v>
      </c>
    </row>
    <row r="21" spans="2:19" ht="16.5" customHeight="1">
      <c r="B21" s="195" t="s">
        <v>512</v>
      </c>
      <c r="C21" s="196" t="s">
        <v>513</v>
      </c>
      <c r="F21" s="184">
        <f>F20+10</f>
        <v>200</v>
      </c>
      <c r="G21" s="185">
        <f>($C$8*2/((0.002377)*($C$9)*((F21*22)/15)^2))</f>
        <v>0.12746836599968839</v>
      </c>
      <c r="H21" s="185">
        <f>$C$12+($C$13*G21^2)</f>
        <v>3.9352408966762564E-2</v>
      </c>
      <c r="I21" s="186">
        <f>$C$8*(H21/G21)</f>
        <v>509.16197458455542</v>
      </c>
      <c r="J21" s="186">
        <f>(I21*F21)/375</f>
        <v>271.55305311176289</v>
      </c>
      <c r="K21" s="34"/>
      <c r="L21" s="197">
        <f>F21/SQRT($C$24)</f>
        <v>215.46080431774018</v>
      </c>
      <c r="M21" s="198">
        <f>J21/SQRT($C$24)</f>
        <v>292.54519619199226</v>
      </c>
      <c r="N21" s="197">
        <f>F21/SQRT($C$25)</f>
        <v>232.74380843343314</v>
      </c>
      <c r="O21" s="198">
        <f>J21/SQRT($C$25)</f>
        <v>316.0114588647902</v>
      </c>
      <c r="P21" s="197">
        <f>F21/SQRT($C$26)</f>
        <v>252.14343571380778</v>
      </c>
      <c r="Q21" s="198">
        <f>J21/SQRT($C$26)</f>
        <v>342.35159895087008</v>
      </c>
      <c r="R21" s="197">
        <f>F21/SQRT($C$27)</f>
        <v>274.01559610108092</v>
      </c>
      <c r="S21" s="198">
        <f>J21/SQRT($C$27)</f>
        <v>372.04885860744099</v>
      </c>
    </row>
    <row r="22" spans="2:19" ht="15.75" customHeight="1">
      <c r="B22" s="199" t="s">
        <v>401</v>
      </c>
      <c r="C22" s="200" t="s">
        <v>445</v>
      </c>
    </row>
    <row r="23" spans="2:19" ht="15.75" customHeight="1">
      <c r="B23" s="201" t="s">
        <v>488</v>
      </c>
      <c r="C23" s="202">
        <f>(1+((-0.003566)*(0)/(519)))^4.26</f>
        <v>1</v>
      </c>
    </row>
    <row r="24" spans="2:19" ht="15.75" customHeight="1">
      <c r="B24" s="201">
        <v>5000</v>
      </c>
      <c r="C24" s="202">
        <f>(1+((-0.003566)*(B24)/(519)))^4.26</f>
        <v>0.86163521023284417</v>
      </c>
    </row>
    <row r="25" spans="2:19" ht="15.75" customHeight="1">
      <c r="B25" s="201">
        <v>10000</v>
      </c>
      <c r="C25" s="202">
        <f>(1+((-0.003566)*(B25)/(519)))^4.26</f>
        <v>0.73842045460010342</v>
      </c>
    </row>
    <row r="26" spans="2:19" ht="15.75" customHeight="1">
      <c r="B26" s="201">
        <v>15000</v>
      </c>
      <c r="C26" s="202">
        <f>(1+((-0.003566)*(B26)/(519)))^4.26</f>
        <v>0.62916515023394459</v>
      </c>
    </row>
    <row r="27" spans="2:19" ht="16.5" customHeight="1">
      <c r="B27" s="203">
        <v>20000</v>
      </c>
      <c r="C27" s="204">
        <f>(1+((-0.003566)*(B27)/(519)))^4.26</f>
        <v>0.53273278787632394</v>
      </c>
    </row>
  </sheetData>
  <mergeCells count="15">
    <mergeCell ref="C9:D9"/>
    <mergeCell ref="C10:D10"/>
    <mergeCell ref="B11:D11"/>
    <mergeCell ref="C12:D12"/>
    <mergeCell ref="B17:C17"/>
    <mergeCell ref="N4:O4"/>
    <mergeCell ref="P4:Q4"/>
    <mergeCell ref="R4:S4"/>
    <mergeCell ref="C7:D7"/>
    <mergeCell ref="C8:D8"/>
    <mergeCell ref="G1:I1"/>
    <mergeCell ref="C3:D3"/>
    <mergeCell ref="C4:D4"/>
    <mergeCell ref="F4:J4"/>
    <mergeCell ref="L4:M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86"/>
  <sheetViews>
    <sheetView zoomScale="70" zoomScaleNormal="70" workbookViewId="0">
      <selection activeCell="Q28" sqref="Q28"/>
    </sheetView>
  </sheetViews>
  <sheetFormatPr defaultColWidth="8.85546875" defaultRowHeight="21"/>
  <cols>
    <col min="1" max="1" width="8.85546875" style="174"/>
    <col min="2" max="3" width="18.7109375" style="174" customWidth="1"/>
    <col min="4" max="4" width="13" style="174" customWidth="1"/>
    <col min="5" max="5" width="17.28515625" style="174" customWidth="1"/>
    <col min="6" max="10" width="10.85546875" style="174" customWidth="1"/>
    <col min="11" max="11" width="8.85546875" style="174"/>
    <col min="12" max="19" width="13.7109375" style="174" customWidth="1"/>
    <col min="20" max="21" width="8.85546875" style="174"/>
    <col min="22" max="22" width="11.42578125" style="174" customWidth="1"/>
    <col min="23" max="24" width="8.85546875" style="174"/>
    <col min="25" max="25" width="11.5703125" style="174" customWidth="1"/>
    <col min="26" max="26" width="9.5703125" style="174" customWidth="1"/>
    <col min="27" max="28" width="11.5703125" style="174" customWidth="1"/>
    <col min="29" max="30" width="8.85546875" style="174"/>
    <col min="31" max="31" width="11.5703125" style="174" customWidth="1"/>
    <col min="32" max="16384" width="8.85546875" style="174"/>
  </cols>
  <sheetData>
    <row r="1" spans="2:31" ht="23.25" customHeight="1">
      <c r="G1" s="499" t="s">
        <v>21</v>
      </c>
      <c r="H1" s="499"/>
      <c r="I1" s="499"/>
    </row>
    <row r="3" spans="2:31" ht="15.75" customHeight="1">
      <c r="B3" s="11"/>
      <c r="C3" s="446" t="s">
        <v>514</v>
      </c>
      <c r="D3" s="446"/>
      <c r="F3" s="175" t="s">
        <v>193</v>
      </c>
      <c r="G3" s="175" t="s">
        <v>194</v>
      </c>
      <c r="H3" s="175" t="s">
        <v>195</v>
      </c>
      <c r="I3" s="175" t="s">
        <v>196</v>
      </c>
      <c r="J3" s="175" t="s">
        <v>197</v>
      </c>
      <c r="L3" s="205"/>
      <c r="M3" s="206" t="s">
        <v>193</v>
      </c>
      <c r="N3" s="207" t="s">
        <v>194</v>
      </c>
      <c r="O3" s="207" t="s">
        <v>195</v>
      </c>
      <c r="P3" s="207" t="s">
        <v>196</v>
      </c>
      <c r="Q3" s="207" t="s">
        <v>197</v>
      </c>
      <c r="R3" s="207" t="s">
        <v>198</v>
      </c>
      <c r="S3" s="207" t="s">
        <v>199</v>
      </c>
      <c r="T3" s="207" t="s">
        <v>200</v>
      </c>
      <c r="U3" s="207" t="s">
        <v>201</v>
      </c>
      <c r="V3" s="208" t="s">
        <v>202</v>
      </c>
      <c r="X3" s="206" t="s">
        <v>207</v>
      </c>
      <c r="Y3" s="207" t="s">
        <v>208</v>
      </c>
      <c r="Z3" s="207" t="s">
        <v>209</v>
      </c>
      <c r="AA3" s="207" t="s">
        <v>210</v>
      </c>
      <c r="AB3" s="207" t="s">
        <v>211</v>
      </c>
      <c r="AC3" s="207" t="s">
        <v>212</v>
      </c>
      <c r="AD3" s="207" t="s">
        <v>213</v>
      </c>
      <c r="AE3" s="208" t="s">
        <v>214</v>
      </c>
    </row>
    <row r="4" spans="2:31" ht="30" customHeight="1">
      <c r="B4" s="176"/>
      <c r="C4" s="446" t="s">
        <v>487</v>
      </c>
      <c r="D4" s="446"/>
      <c r="F4" s="488" t="s">
        <v>488</v>
      </c>
      <c r="G4" s="488"/>
      <c r="H4" s="488"/>
      <c r="I4" s="488"/>
      <c r="J4" s="488"/>
      <c r="L4" s="209"/>
      <c r="M4" s="500" t="s">
        <v>488</v>
      </c>
      <c r="N4" s="500"/>
      <c r="O4" s="500"/>
      <c r="P4" s="500"/>
      <c r="Q4" s="500"/>
      <c r="R4" s="500"/>
      <c r="S4" s="500"/>
      <c r="T4" s="500"/>
      <c r="U4" s="500"/>
      <c r="V4" s="500"/>
      <c r="X4" s="210" t="s">
        <v>489</v>
      </c>
      <c r="Y4" s="211" t="s">
        <v>488</v>
      </c>
      <c r="Z4" s="501" t="s">
        <v>489</v>
      </c>
      <c r="AA4" s="501"/>
      <c r="AB4" s="501"/>
      <c r="AC4" s="501"/>
      <c r="AD4" s="501"/>
      <c r="AE4" s="501"/>
    </row>
    <row r="5" spans="2:31" ht="30" customHeight="1">
      <c r="F5" s="175" t="s">
        <v>493</v>
      </c>
      <c r="G5" s="175" t="s">
        <v>494</v>
      </c>
      <c r="H5" s="175" t="s">
        <v>495</v>
      </c>
      <c r="I5" s="175" t="s">
        <v>496</v>
      </c>
      <c r="J5" s="175" t="s">
        <v>497</v>
      </c>
      <c r="L5" s="205"/>
      <c r="M5" s="502" t="s">
        <v>498</v>
      </c>
      <c r="N5" s="365" t="s">
        <v>515</v>
      </c>
      <c r="O5" s="365" t="s">
        <v>515</v>
      </c>
      <c r="P5" s="503" t="s">
        <v>516</v>
      </c>
      <c r="Q5" s="503" t="s">
        <v>177</v>
      </c>
      <c r="R5" s="503" t="s">
        <v>517</v>
      </c>
      <c r="S5" s="365" t="s">
        <v>515</v>
      </c>
      <c r="T5" s="365" t="s">
        <v>515</v>
      </c>
      <c r="U5" s="504"/>
      <c r="V5" s="505" t="s">
        <v>518</v>
      </c>
      <c r="X5" s="502" t="s">
        <v>516</v>
      </c>
      <c r="Y5" s="503" t="s">
        <v>519</v>
      </c>
      <c r="Z5" s="503" t="s">
        <v>177</v>
      </c>
      <c r="AA5" s="503" t="s">
        <v>517</v>
      </c>
      <c r="AB5" s="365" t="s">
        <v>515</v>
      </c>
      <c r="AC5" s="365" t="s">
        <v>515</v>
      </c>
      <c r="AD5" s="504"/>
      <c r="AE5" s="505" t="s">
        <v>518</v>
      </c>
    </row>
    <row r="6" spans="2:31" ht="16.5" customHeight="1">
      <c r="F6" s="179" t="s">
        <v>135</v>
      </c>
      <c r="G6" s="180" t="s">
        <v>445</v>
      </c>
      <c r="H6" s="180" t="s">
        <v>445</v>
      </c>
      <c r="I6" s="180" t="s">
        <v>422</v>
      </c>
      <c r="J6" s="180" t="s">
        <v>500</v>
      </c>
      <c r="L6" s="205"/>
      <c r="M6" s="502"/>
      <c r="N6" s="365" t="s">
        <v>498</v>
      </c>
      <c r="O6" s="365" t="s">
        <v>516</v>
      </c>
      <c r="P6" s="503"/>
      <c r="Q6" s="503"/>
      <c r="R6" s="503"/>
      <c r="S6" s="365" t="s">
        <v>517</v>
      </c>
      <c r="T6" s="212" t="s">
        <v>520</v>
      </c>
      <c r="U6" s="504"/>
      <c r="V6" s="505"/>
      <c r="X6" s="502"/>
      <c r="Y6" s="503"/>
      <c r="Z6" s="503"/>
      <c r="AA6" s="503"/>
      <c r="AB6" s="365" t="s">
        <v>517</v>
      </c>
      <c r="AC6" s="365" t="s">
        <v>521</v>
      </c>
      <c r="AD6" s="504"/>
      <c r="AE6" s="505"/>
    </row>
    <row r="7" spans="2:31" ht="16.5" customHeight="1">
      <c r="B7" s="183" t="s">
        <v>501</v>
      </c>
      <c r="C7" s="493" t="s">
        <v>502</v>
      </c>
      <c r="D7" s="493"/>
      <c r="F7" s="184">
        <f>C18</f>
        <v>60</v>
      </c>
      <c r="G7" s="185">
        <f>($C$8*2/((0.002377)*($C$9)*((F7*22)/15)^2))</f>
        <v>1.4163151777743155</v>
      </c>
      <c r="H7" s="185">
        <f>$C$12+($C$13*G7^2)</f>
        <v>0.16409503049384785</v>
      </c>
      <c r="I7" s="186">
        <f>$C$8*(H7/G7)</f>
        <v>191.08323161282334</v>
      </c>
      <c r="J7" s="186">
        <f>(I7*F7)/375</f>
        <v>30.573317058051732</v>
      </c>
      <c r="L7" s="213"/>
      <c r="M7" s="364" t="s">
        <v>135</v>
      </c>
      <c r="N7" s="365" t="s">
        <v>232</v>
      </c>
      <c r="O7" s="365" t="s">
        <v>232</v>
      </c>
      <c r="P7" s="365" t="s">
        <v>522</v>
      </c>
      <c r="Q7" s="365" t="s">
        <v>500</v>
      </c>
      <c r="R7" s="365" t="s">
        <v>221</v>
      </c>
      <c r="S7" s="365" t="s">
        <v>232</v>
      </c>
      <c r="T7" s="365" t="s">
        <v>232</v>
      </c>
      <c r="U7" s="365" t="s">
        <v>232</v>
      </c>
      <c r="V7" s="366" t="s">
        <v>500</v>
      </c>
      <c r="X7" s="214" t="s">
        <v>522</v>
      </c>
      <c r="Y7" s="215" t="s">
        <v>500</v>
      </c>
      <c r="Z7" s="215" t="s">
        <v>500</v>
      </c>
      <c r="AA7" s="215" t="s">
        <v>221</v>
      </c>
      <c r="AB7" s="215" t="s">
        <v>232</v>
      </c>
      <c r="AC7" s="215" t="s">
        <v>232</v>
      </c>
      <c r="AD7" s="215" t="s">
        <v>232</v>
      </c>
      <c r="AE7" s="216" t="s">
        <v>500</v>
      </c>
    </row>
    <row r="8" spans="2:31" ht="15.75" customHeight="1">
      <c r="B8" s="189" t="s">
        <v>503</v>
      </c>
      <c r="C8" s="494">
        <f>'ACT 3'!F2</f>
        <v>1649.2521457653345</v>
      </c>
      <c r="D8" s="494"/>
      <c r="F8" s="184">
        <f>F7+10</f>
        <v>70</v>
      </c>
      <c r="G8" s="185">
        <f>($C$8*2/((0.002377)*($C$9)*((F8*22)/15)^2))</f>
        <v>1.0405580897933746</v>
      </c>
      <c r="H8" s="185">
        <f>$C$12+($C$13*G8^2)</f>
        <v>0.10621655352787064</v>
      </c>
      <c r="I8" s="186">
        <f>$C$8*(H8/G8)</f>
        <v>168.34992735141248</v>
      </c>
      <c r="J8" s="186">
        <f>(I8*F8)/375</f>
        <v>31.425319772263663</v>
      </c>
      <c r="L8" s="213"/>
      <c r="M8" s="217">
        <v>60</v>
      </c>
      <c r="N8" s="100">
        <f>(M8/$P$34)*100</f>
        <v>43.443840760971874</v>
      </c>
      <c r="O8" s="100">
        <v>86.12</v>
      </c>
      <c r="P8" s="100">
        <f>(O8/100)*($C$34)</f>
        <v>2196.0600000000004</v>
      </c>
      <c r="Q8" s="100">
        <f>(O8/100)*($C$32)</f>
        <v>107.65</v>
      </c>
      <c r="R8" s="218">
        <f>(M8*88)/(P8*$P$37)</f>
        <v>0.36522690096311694</v>
      </c>
      <c r="S8" s="100">
        <f>(R8/$C$37)*100</f>
        <v>50.445704552916702</v>
      </c>
      <c r="T8" s="365">
        <v>60.53</v>
      </c>
      <c r="U8" s="100">
        <f>(T8)*($C$31)</f>
        <v>47.2134</v>
      </c>
      <c r="V8" s="219">
        <f>Q8*(U8/100)</f>
        <v>50.825225100000004</v>
      </c>
      <c r="X8" s="220">
        <f>P8*0.995</f>
        <v>2185.0797000000002</v>
      </c>
      <c r="Y8" s="100">
        <f>(($C$32)*X8)/($C$34)</f>
        <v>107.11175000000001</v>
      </c>
      <c r="Z8" s="100">
        <f>Y8*0.82</f>
        <v>87.831635000000006</v>
      </c>
      <c r="AA8" s="218">
        <f>(M8*88)/(X8*$P$37)</f>
        <v>0.36706221202323319</v>
      </c>
      <c r="AB8" s="100">
        <f>(AA8/$C$37)*100</f>
        <v>50.699200555695192</v>
      </c>
      <c r="AC8" s="365">
        <v>60.89</v>
      </c>
      <c r="AD8" s="100">
        <f>AC8*$C$31</f>
        <v>47.494199999999999</v>
      </c>
      <c r="AE8" s="219">
        <f>(Z8*AD8)/100</f>
        <v>41.714932390170006</v>
      </c>
    </row>
    <row r="9" spans="2:31" ht="15.75" customHeight="1">
      <c r="B9" s="189" t="s">
        <v>504</v>
      </c>
      <c r="C9" s="494">
        <f>'ACT 3'!J4</f>
        <v>126.52100068226807</v>
      </c>
      <c r="D9" s="494"/>
      <c r="F9" s="184">
        <f>F8+10</f>
        <v>80</v>
      </c>
      <c r="G9" s="185">
        <f>($C$8*2/((0.002377)*($C$9)*((F9*22)/15)^2))</f>
        <v>0.79667728749805256</v>
      </c>
      <c r="H9" s="185">
        <f>$C$12+($C$13*G9^2)</f>
        <v>7.812540005274396E-2</v>
      </c>
      <c r="I9" s="186">
        <f>$C$8*(H9/G9)</f>
        <v>161.73234218890431</v>
      </c>
      <c r="J9" s="186">
        <f>(I9*F9)/375</f>
        <v>34.502899666966258</v>
      </c>
      <c r="L9" s="213"/>
      <c r="M9" s="217">
        <v>70</v>
      </c>
      <c r="N9" s="100">
        <f>(M9/$P$34)*100</f>
        <v>50.684480887800518</v>
      </c>
      <c r="O9" s="100">
        <v>86.89</v>
      </c>
      <c r="P9" s="100">
        <f>(O9/100)*($C$34)</f>
        <v>2215.6950000000002</v>
      </c>
      <c r="Q9" s="100">
        <f>(O9/100)*($C$32)</f>
        <v>108.6125</v>
      </c>
      <c r="R9" s="218">
        <f>(M9*88)/(P9*$P$37)</f>
        <v>0.42232206425097912</v>
      </c>
      <c r="S9" s="100">
        <f>(R9/$C$37)*100</f>
        <v>58.331776830245744</v>
      </c>
      <c r="T9" s="365">
        <v>68.42</v>
      </c>
      <c r="U9" s="100">
        <f>(T9)*($C$31)</f>
        <v>53.367600000000003</v>
      </c>
      <c r="V9" s="219">
        <f>Q9*(U9/100)</f>
        <v>57.963884550000003</v>
      </c>
      <c r="X9" s="220">
        <f>P9*0.995</f>
        <v>2204.6165250000004</v>
      </c>
      <c r="Y9" s="100">
        <f>(($C$32)*X9)/($C$34)</f>
        <v>108.06943750000002</v>
      </c>
      <c r="Z9" s="100">
        <f>Y9*0.82</f>
        <v>88.616938750000017</v>
      </c>
      <c r="AA9" s="218">
        <f>(M9*88)/(X9*$P$37)</f>
        <v>0.42444428567937598</v>
      </c>
      <c r="AB9" s="100">
        <f>(AA9/$C$37)*100</f>
        <v>58.624901336930392</v>
      </c>
      <c r="AC9" s="365">
        <v>69.12</v>
      </c>
      <c r="AD9" s="100">
        <f>AC9*$C$31</f>
        <v>53.913600000000002</v>
      </c>
      <c r="AE9" s="219">
        <f>(Z9*AD9)/100</f>
        <v>47.77658188992001</v>
      </c>
    </row>
    <row r="10" spans="2:31" ht="16.5" customHeight="1">
      <c r="B10" s="190" t="s">
        <v>505</v>
      </c>
      <c r="C10" s="495">
        <v>1.54</v>
      </c>
      <c r="D10" s="495"/>
      <c r="F10" s="184">
        <f>F9+10</f>
        <v>90</v>
      </c>
      <c r="G10" s="185">
        <f>($C$8*2/((0.002377)*($C$9)*((F10*22)/15)^2))</f>
        <v>0.62947341234414023</v>
      </c>
      <c r="H10" s="185">
        <f>$C$12+($C$13*G10^2)</f>
        <v>6.3175478427536111E-2</v>
      </c>
      <c r="I10" s="186">
        <f>$C$8*(H10/G10)</f>
        <v>165.52294554960875</v>
      </c>
      <c r="J10" s="186">
        <f>(I10*F10)/375</f>
        <v>39.725506931906104</v>
      </c>
      <c r="L10" s="213"/>
      <c r="M10" s="217">
        <v>80</v>
      </c>
      <c r="N10" s="100">
        <f>(M10/$P$34)*100</f>
        <v>57.92512101462917</v>
      </c>
      <c r="O10" s="100">
        <v>87.3</v>
      </c>
      <c r="P10" s="100">
        <f>(O10/100)*($C$34)</f>
        <v>2226.15</v>
      </c>
      <c r="Q10" s="100">
        <f>(O10/100)*($C$32)</f>
        <v>109.125</v>
      </c>
      <c r="R10" s="218">
        <f>(M10*88)/(P10*$P$37)</f>
        <v>0.48038702880402656</v>
      </c>
      <c r="S10" s="100">
        <f>(R10/$C$37)*100</f>
        <v>66.351799558567208</v>
      </c>
      <c r="T10" s="365">
        <v>77.12</v>
      </c>
      <c r="U10" s="100">
        <f>(T10)*($C$31)</f>
        <v>60.153600000000004</v>
      </c>
      <c r="V10" s="219">
        <f>Q10*(U10/100)</f>
        <v>65.642616000000004</v>
      </c>
      <c r="X10" s="220">
        <f>P10*0.995</f>
        <v>2215.0192500000003</v>
      </c>
      <c r="Y10" s="100">
        <f>(($C$32)*X10)/($C$34)</f>
        <v>108.57937500000003</v>
      </c>
      <c r="Z10" s="100">
        <f>Y10*0.82</f>
        <v>89.035087500000017</v>
      </c>
      <c r="AA10" s="218">
        <f>(M10*88)/(X10*$P$37)</f>
        <v>0.48280103397389595</v>
      </c>
      <c r="AB10" s="100">
        <f>(AA10/$C$37)*100</f>
        <v>66.685225687002202</v>
      </c>
      <c r="AC10" s="365">
        <v>77.89</v>
      </c>
      <c r="AD10" s="100">
        <f>AC10*$C$31</f>
        <v>60.754200000000004</v>
      </c>
      <c r="AE10" s="219">
        <f>(Z10*AD10)/100</f>
        <v>54.09255512992501</v>
      </c>
    </row>
    <row r="11" spans="2:31" ht="16.5" customHeight="1">
      <c r="B11" s="496" t="s">
        <v>506</v>
      </c>
      <c r="C11" s="496"/>
      <c r="D11" s="496"/>
      <c r="F11" s="184">
        <f>F10+10</f>
        <v>100</v>
      </c>
      <c r="G11" s="185">
        <f>($C$8*2/((0.002377)*($C$9)*((F11*22)/15)^2))</f>
        <v>0.50987346399875355</v>
      </c>
      <c r="H11" s="185">
        <f>$C$12+($C$13*G11^2)</f>
        <v>5.4632405453848822E-2</v>
      </c>
      <c r="I11" s="186">
        <f>$C$8*(H11/G11)</f>
        <v>176.71563296595133</v>
      </c>
      <c r="J11" s="186">
        <f>(I11*F11)/375</f>
        <v>47.124168790920358</v>
      </c>
      <c r="L11" s="213"/>
      <c r="M11" s="217">
        <v>90</v>
      </c>
      <c r="N11" s="100">
        <f>(M11/$P$34)*100</f>
        <v>65.165761141457807</v>
      </c>
      <c r="O11" s="100">
        <v>88.1</v>
      </c>
      <c r="P11" s="100">
        <f>(O11/100)*($C$34)</f>
        <v>2246.5499999999997</v>
      </c>
      <c r="Q11" s="100">
        <f>(O11/100)*($C$32)</f>
        <v>110.12499999999999</v>
      </c>
      <c r="R11" s="218">
        <f>(M11*88)/(P11*$P$37)</f>
        <v>0.53552793491958528</v>
      </c>
      <c r="S11" s="100">
        <f>(R11/$C$37)*100</f>
        <v>73.967946812097424</v>
      </c>
      <c r="T11" s="100">
        <v>84.43</v>
      </c>
      <c r="U11" s="100">
        <f>(T11)*($C$31)</f>
        <v>65.855400000000003</v>
      </c>
      <c r="V11" s="219">
        <f>Q11*(U11/100)</f>
        <v>72.523259249999995</v>
      </c>
      <c r="X11" s="220">
        <f>P11*0.995</f>
        <v>2235.3172499999996</v>
      </c>
      <c r="Y11" s="100">
        <f>(($C$32)*X11)/($C$34)</f>
        <v>109.57437499999997</v>
      </c>
      <c r="Z11" s="100">
        <f>Y11*0.82</f>
        <v>89.850987499999974</v>
      </c>
      <c r="AA11" s="218">
        <f>(M11*88)/(X11*$P$37)</f>
        <v>0.53821903006993499</v>
      </c>
      <c r="AB11" s="100">
        <f>(AA11/$C$37)*100</f>
        <v>74.339645037283844</v>
      </c>
      <c r="AC11" s="365">
        <v>84.86</v>
      </c>
      <c r="AD11" s="100">
        <f>AC11*$C$31</f>
        <v>66.190799999999996</v>
      </c>
      <c r="AE11" s="219">
        <f>(Z11*AD11)/100</f>
        <v>59.473087434149974</v>
      </c>
    </row>
    <row r="12" spans="2:31" ht="15.75" customHeight="1">
      <c r="B12" s="191" t="s">
        <v>483</v>
      </c>
      <c r="C12" s="497">
        <f>'ACT 9'!P31</f>
        <v>3.8333742534290144E-2</v>
      </c>
      <c r="D12" s="497"/>
      <c r="F12" s="184">
        <f>F11+10</f>
        <v>110</v>
      </c>
      <c r="G12" s="185">
        <f>($C$8*2/((0.002377)*($C$9)*((F12*22)/15)^2))</f>
        <v>0.42138302809814338</v>
      </c>
      <c r="H12" s="185">
        <f>$C$12+($C$13*G12^2)</f>
        <v>4.9465948612808466E-2</v>
      </c>
      <c r="I12" s="186">
        <f>$C$8*(H12/G12)</f>
        <v>193.60490682361109</v>
      </c>
      <c r="J12" s="186">
        <f>(I12*F12)/375</f>
        <v>56.790772668259258</v>
      </c>
      <c r="L12" s="213"/>
      <c r="M12" s="217">
        <v>100</v>
      </c>
      <c r="N12" s="100">
        <f>(M12/$P$34)*100</f>
        <v>72.406401268286459</v>
      </c>
      <c r="O12" s="100">
        <v>90.1</v>
      </c>
      <c r="P12" s="100">
        <f>(O12/100)*($C$34)</f>
        <v>2297.5499999999997</v>
      </c>
      <c r="Q12" s="100">
        <f>(O12/100)*($C$32)</f>
        <v>112.62499999999999</v>
      </c>
      <c r="R12" s="218">
        <f>(M12*88)/(P12*$P$37)</f>
        <v>0.58182280264416653</v>
      </c>
      <c r="S12" s="100">
        <f>(R12/$C$37)*100</f>
        <v>80.362265558586543</v>
      </c>
      <c r="T12" s="365">
        <v>91.02</v>
      </c>
      <c r="U12" s="100">
        <f>(T12)*($C$31)</f>
        <v>70.995599999999996</v>
      </c>
      <c r="V12" s="219">
        <f>Q12*(U12/100)</f>
        <v>79.958794499999982</v>
      </c>
      <c r="X12" s="220">
        <f>P12*0.995</f>
        <v>2286.0622499999995</v>
      </c>
      <c r="Y12" s="100">
        <f>(($C$32)*X12)/($C$34)</f>
        <v>112.06187499999997</v>
      </c>
      <c r="Z12" s="100">
        <f>Y12*0.82</f>
        <v>91.890737499999972</v>
      </c>
      <c r="AA12" s="218">
        <f>(M12*88)/(X12*$P$37)</f>
        <v>0.58474653532077048</v>
      </c>
      <c r="AB12" s="100">
        <f>(AA12/$C$37)*100</f>
        <v>80.766096038780461</v>
      </c>
      <c r="AC12" s="365">
        <v>90.23</v>
      </c>
      <c r="AD12" s="100">
        <f>AC12*$C$31</f>
        <v>70.379400000000004</v>
      </c>
      <c r="AE12" s="219">
        <f>(Z12*AD12)/100</f>
        <v>64.672149708074983</v>
      </c>
    </row>
    <row r="13" spans="2:31" ht="15.75" customHeight="1">
      <c r="B13" s="189" t="s">
        <v>507</v>
      </c>
      <c r="C13" s="192">
        <f>'ACT 9'!P32</f>
        <v>6.2694170114260872E-2</v>
      </c>
      <c r="D13" s="193" t="s">
        <v>508</v>
      </c>
      <c r="F13" s="184">
        <f>F12+10</f>
        <v>120</v>
      </c>
      <c r="G13" s="185">
        <f>($C$8*2/((0.002377)*($C$9)*((F13*22)/15)^2))</f>
        <v>0.35407879444357887</v>
      </c>
      <c r="H13" s="185">
        <f>$C$12+($C$13*G13^2)</f>
        <v>4.6193823031762504E-2</v>
      </c>
      <c r="I13" s="186">
        <f>$C$8*(H13/G13)</f>
        <v>215.16471178671017</v>
      </c>
      <c r="J13" s="186">
        <f>(I13*F13)/375</f>
        <v>68.852707771747262</v>
      </c>
      <c r="L13" s="213"/>
      <c r="M13" s="217">
        <v>110</v>
      </c>
      <c r="N13" s="100">
        <f>(M13/$P$34)*100</f>
        <v>79.64704139511511</v>
      </c>
      <c r="O13" s="100">
        <v>93.12</v>
      </c>
      <c r="P13" s="100">
        <f>(O13/100)*($C$34)</f>
        <v>2374.56</v>
      </c>
      <c r="Q13" s="100">
        <f>(O13/100)*($C$32)</f>
        <v>116.4</v>
      </c>
      <c r="R13" s="218">
        <f>(M13*88)/(P13*$P$37)</f>
        <v>0.61924890431769053</v>
      </c>
      <c r="S13" s="100">
        <f>(R13/$C$37)*100</f>
        <v>85.531616618465549</v>
      </c>
      <c r="T13" s="365">
        <v>94.98</v>
      </c>
      <c r="U13" s="100">
        <f>(T13)*($C$31)</f>
        <v>74.084400000000002</v>
      </c>
      <c r="V13" s="219">
        <f>Q13*(U13/100)</f>
        <v>86.234241600000004</v>
      </c>
      <c r="X13" s="220">
        <f>P13*0.995</f>
        <v>2362.6871999999998</v>
      </c>
      <c r="Y13" s="100">
        <f>(($C$32)*X13)/($C$34)</f>
        <v>115.81799999999998</v>
      </c>
      <c r="Z13" s="100">
        <f>Y13*0.82</f>
        <v>94.970759999999984</v>
      </c>
      <c r="AA13" s="218">
        <f>(M13*88)/(X13*$P$37)</f>
        <v>0.62236070785697539</v>
      </c>
      <c r="AB13" s="100">
        <f>(AA13/$C$37)*100</f>
        <v>85.961423737151293</v>
      </c>
      <c r="AC13" s="365">
        <v>94.76</v>
      </c>
      <c r="AD13" s="100">
        <f>AC13*$C$31</f>
        <v>73.912800000000004</v>
      </c>
      <c r="AE13" s="219">
        <f>(Z13*AD13)/100</f>
        <v>70.195547897279994</v>
      </c>
    </row>
    <row r="14" spans="2:31" ht="15.75" customHeight="1">
      <c r="F14" s="184">
        <f>F13+10</f>
        <v>130</v>
      </c>
      <c r="G14" s="185">
        <f>($C$8*2/((0.002377)*($C$9)*((F14*22)/15)^2))</f>
        <v>0.30170027455547549</v>
      </c>
      <c r="H14" s="185">
        <f>$C$12+($C$13*G14^2)</f>
        <v>4.4040357470587432E-2</v>
      </c>
      <c r="I14" s="186">
        <f>$C$8*(H14/G14)</f>
        <v>240.74772277107462</v>
      </c>
      <c r="J14" s="186">
        <f>(I14*F14)/375</f>
        <v>83.459210560639207</v>
      </c>
      <c r="L14" s="213"/>
      <c r="M14" s="217">
        <v>120</v>
      </c>
      <c r="N14" s="100">
        <f>(M14/$P$34)*100</f>
        <v>86.887681521943747</v>
      </c>
      <c r="O14" s="100">
        <v>94.94</v>
      </c>
      <c r="P14" s="100">
        <f>(O14/100)*($C$34)</f>
        <v>2420.9700000000003</v>
      </c>
      <c r="Q14" s="100">
        <f>(O14/100)*($C$32)</f>
        <v>118.675</v>
      </c>
      <c r="R14" s="218">
        <f>(M14*88)/(P14*$P$37)</f>
        <v>0.66259407438263396</v>
      </c>
      <c r="S14" s="100">
        <f>(R14/$C$37)*100</f>
        <v>91.518518561137284</v>
      </c>
      <c r="T14" s="365">
        <v>97.91</v>
      </c>
      <c r="U14" s="100">
        <f>(T14)*($C$31)</f>
        <v>76.369799999999998</v>
      </c>
      <c r="V14" s="219">
        <f>Q14*(U14/100)</f>
        <v>90.631860149999994</v>
      </c>
      <c r="X14" s="220">
        <f>P14*0.995</f>
        <v>2408.8651500000001</v>
      </c>
      <c r="Y14" s="100">
        <f>(($C$32)*X14)/($C$34)</f>
        <v>118.081625</v>
      </c>
      <c r="Z14" s="100">
        <f>Y14*0.82</f>
        <v>96.826932499999998</v>
      </c>
      <c r="AA14" s="218">
        <f>(M14*88)/(X14*$P$37)</f>
        <v>0.66592369284686836</v>
      </c>
      <c r="AB14" s="100">
        <f>(AA14/$C$37)*100</f>
        <v>91.978410614208343</v>
      </c>
      <c r="AC14" s="365">
        <v>98.12</v>
      </c>
      <c r="AD14" s="100">
        <f>AC14*$C$31</f>
        <v>76.533600000000007</v>
      </c>
      <c r="AE14" s="219">
        <f>(Z14*AD14)/100</f>
        <v>74.105137211820008</v>
      </c>
    </row>
    <row r="15" spans="2:31" ht="15.75" customHeight="1">
      <c r="F15" s="184">
        <f>F14+10</f>
        <v>140</v>
      </c>
      <c r="G15" s="185">
        <f>($C$8*2/((0.002377)*($C$9)*((F15*22)/15)^2))</f>
        <v>0.26013952244834365</v>
      </c>
      <c r="H15" s="185">
        <f>$C$12+($C$13*G15^2)</f>
        <v>4.2576418221388926E-2</v>
      </c>
      <c r="I15" s="186">
        <f>$C$8*(H15/G15)</f>
        <v>269.92918434595623</v>
      </c>
      <c r="J15" s="186">
        <f>(I15*F15)/375</f>
        <v>100.77356215582365</v>
      </c>
      <c r="L15" s="213"/>
      <c r="M15" s="217">
        <v>130</v>
      </c>
      <c r="N15" s="100">
        <f>(M15/$P$34)*100</f>
        <v>94.128321648772399</v>
      </c>
      <c r="O15" s="100">
        <v>97.31</v>
      </c>
      <c r="P15" s="100">
        <f>(O15/100)*($C$34)</f>
        <v>2481.4050000000002</v>
      </c>
      <c r="Q15" s="100">
        <f>(O15/100)*($C$32)</f>
        <v>121.6375</v>
      </c>
      <c r="R15" s="218">
        <f>(M15*88)/(P15*$P$37)</f>
        <v>0.70032786839699124</v>
      </c>
      <c r="S15" s="100">
        <f>(R15/$C$37)*100</f>
        <v>96.730368563120336</v>
      </c>
      <c r="T15" s="365">
        <v>99.57</v>
      </c>
      <c r="U15" s="100">
        <f>(T15)*($C$31)</f>
        <v>77.664599999999993</v>
      </c>
      <c r="V15" s="219">
        <f>Q15*(U15/100)</f>
        <v>94.469277824999992</v>
      </c>
      <c r="X15" s="220">
        <f>P15*0.995</f>
        <v>2468.9979750000002</v>
      </c>
      <c r="Y15" s="100">
        <f>(($C$32)*X15)/($C$34)</f>
        <v>121.0293125</v>
      </c>
      <c r="Z15" s="100">
        <f>Y15*0.82</f>
        <v>99.244036249999994</v>
      </c>
      <c r="AA15" s="218">
        <f>(M15*88)/(X15*$P$37)</f>
        <v>0.70384710391657412</v>
      </c>
      <c r="AB15" s="100">
        <f>(AA15/$C$37)*100</f>
        <v>97.216450817206379</v>
      </c>
      <c r="AC15" s="365">
        <v>99.94</v>
      </c>
      <c r="AD15" s="100">
        <f>AC15*$C$31</f>
        <v>77.953199999999995</v>
      </c>
      <c r="AE15" s="219">
        <f>(Z15*AD15)/100</f>
        <v>77.363902066034996</v>
      </c>
    </row>
    <row r="16" spans="2:31" ht="15.75" customHeight="1">
      <c r="B16" s="194" t="s">
        <v>509</v>
      </c>
      <c r="C16" s="185">
        <f>SQRT((C8/C9)*(2/0.002377)*(1/C10))*(15/22)</f>
        <v>57.54013077272726</v>
      </c>
      <c r="D16" s="174">
        <f>SQRT((C8/C9)*(2/0.002377)*(1/C10))</f>
        <v>84.392191799999992</v>
      </c>
      <c r="F16" s="184">
        <f>F15+10</f>
        <v>150</v>
      </c>
      <c r="G16" s="185">
        <f>($C$8*2/((0.002377)*($C$9)*((F16*22)/15)^2))</f>
        <v>0.22661042844389045</v>
      </c>
      <c r="H16" s="185">
        <f>$C$12+($C$13*G16^2)</f>
        <v>4.1553231506054819E-2</v>
      </c>
      <c r="I16" s="186">
        <f>$C$8*(H16/G16)</f>
        <v>302.42101696486276</v>
      </c>
      <c r="J16" s="186">
        <f>(I16*F16)/375</f>
        <v>120.96840678594509</v>
      </c>
      <c r="L16" s="213"/>
      <c r="M16" s="217">
        <v>140</v>
      </c>
      <c r="N16" s="100">
        <f>(M16/$P$34)*100</f>
        <v>101.36896177560104</v>
      </c>
      <c r="O16" s="100">
        <v>100.21</v>
      </c>
      <c r="P16" s="100">
        <f>(O16/100)*($C$34)</f>
        <v>2555.355</v>
      </c>
      <c r="Q16" s="100">
        <f>(O16/100)*($C$32)</f>
        <v>125.2625</v>
      </c>
      <c r="R16" s="218">
        <f>(M16*88)/(P16*$P$37)</f>
        <v>0.73237329932676543</v>
      </c>
      <c r="S16" s="100">
        <f>(R16/$C$37)*100</f>
        <v>101.15653305618306</v>
      </c>
      <c r="T16" s="365">
        <v>99.54</v>
      </c>
      <c r="U16" s="100">
        <f>(T16)*($C$31)</f>
        <v>77.641200000000012</v>
      </c>
      <c r="V16" s="219">
        <f>Q16*(U16/100)</f>
        <v>97.255308150000019</v>
      </c>
      <c r="X16" s="220">
        <f>P16*0.995</f>
        <v>2542.5782250000002</v>
      </c>
      <c r="Y16" s="100">
        <f>(($C$32)*X16)/($C$34)</f>
        <v>124.63618750000001</v>
      </c>
      <c r="Z16" s="100">
        <f>Y16*0.82</f>
        <v>102.20167375</v>
      </c>
      <c r="AA16" s="218">
        <f>(M16*88)/(X16*$P$37)</f>
        <v>0.7360535671625783</v>
      </c>
      <c r="AB16" s="100">
        <f>(AA16/$C$37)*100</f>
        <v>101.66485734289756</v>
      </c>
      <c r="AC16" s="365">
        <v>99.98</v>
      </c>
      <c r="AD16" s="100">
        <f>AC16*$C$31</f>
        <v>77.984400000000008</v>
      </c>
      <c r="AE16" s="219">
        <f>(Z16*AD16)/100</f>
        <v>79.701362063895004</v>
      </c>
    </row>
    <row r="17" spans="2:31" ht="15.75" customHeight="1">
      <c r="B17" s="498" t="s">
        <v>510</v>
      </c>
      <c r="C17" s="498"/>
      <c r="F17" s="184">
        <f>F16+10</f>
        <v>160</v>
      </c>
      <c r="G17" s="185">
        <f>($C$8*2/((0.002377)*($C$9)*((F17*22)/15)^2))</f>
        <v>0.19916932187451314</v>
      </c>
      <c r="H17" s="185">
        <f>$C$12+($C$13*G17^2)</f>
        <v>4.0820721129193507E-2</v>
      </c>
      <c r="I17" s="186">
        <f>$C$8*(H17/G17)</f>
        <v>338.02224800678931</v>
      </c>
      <c r="J17" s="186">
        <f>(I17*F17)/375</f>
        <v>144.22282581623011</v>
      </c>
      <c r="L17" s="213"/>
      <c r="M17" s="217">
        <v>150</v>
      </c>
      <c r="N17" s="100">
        <f>(M17/$P$34)*100</f>
        <v>108.60960190242967</v>
      </c>
      <c r="O17" s="100">
        <v>103.87</v>
      </c>
      <c r="P17" s="100">
        <f>(O17/100)*($C$34)</f>
        <v>2648.6849999999999</v>
      </c>
      <c r="Q17" s="100">
        <f>(O17/100)*($C$32)</f>
        <v>129.83750000000001</v>
      </c>
      <c r="R17" s="218">
        <f>(M17*88)/(P17*$P$37)</f>
        <v>0.75703621620640327</v>
      </c>
      <c r="S17" s="100">
        <f>(R17/$C$37)*100</f>
        <v>104.56301328817726</v>
      </c>
      <c r="T17" s="365">
        <v>98.1</v>
      </c>
      <c r="U17" s="100">
        <f>(T17)*($C$31)</f>
        <v>76.518000000000001</v>
      </c>
      <c r="V17" s="219">
        <f>Q17*(U17/100)</f>
        <v>99.349058249999999</v>
      </c>
      <c r="X17" s="220">
        <f>P17*0.995</f>
        <v>2635.4415749999998</v>
      </c>
      <c r="Y17" s="100">
        <f>(($C$32)*X17)/($C$34)</f>
        <v>129.18831249999999</v>
      </c>
      <c r="Z17" s="100">
        <f>Y17*0.82</f>
        <v>105.93441624999998</v>
      </c>
      <c r="AA17" s="218">
        <f>(M17*88)/(X17*$P$37)</f>
        <v>0.76084041829789262</v>
      </c>
      <c r="AB17" s="100">
        <f>(AA17/$C$37)*100</f>
        <v>105.08845556600728</v>
      </c>
      <c r="AC17" s="365">
        <v>98.65</v>
      </c>
      <c r="AD17" s="100">
        <f>AC17*$C$31</f>
        <v>76.947000000000003</v>
      </c>
      <c r="AE17" s="219">
        <f>(Z17*AD17)/100</f>
        <v>81.513355271887491</v>
      </c>
    </row>
    <row r="18" spans="2:31" ht="15.75" customHeight="1">
      <c r="B18" s="194" t="s">
        <v>511</v>
      </c>
      <c r="C18" s="184">
        <f>ROUND(C16, -1)</f>
        <v>60</v>
      </c>
      <c r="F18" s="184">
        <f>F17+10</f>
        <v>170</v>
      </c>
      <c r="G18" s="185">
        <f>($C$8*2/((0.002377)*($C$9)*((F18*22)/15)^2))</f>
        <v>0.17642680415181783</v>
      </c>
      <c r="H18" s="185">
        <f>$C$12+($C$13*G18^2)</f>
        <v>4.0285187430730403E-2</v>
      </c>
      <c r="I18" s="186">
        <f>$C$8*(H18/G18)</f>
        <v>376.5892157493135</v>
      </c>
      <c r="J18" s="186">
        <f>(I18*F18)/375</f>
        <v>170.7204444730221</v>
      </c>
      <c r="K18" s="34"/>
      <c r="L18" s="213"/>
      <c r="M18" s="217">
        <v>160</v>
      </c>
      <c r="N18" s="100">
        <f>(M18/$P$34)*100</f>
        <v>115.85024202925834</v>
      </c>
      <c r="O18" s="100">
        <v>106.83</v>
      </c>
      <c r="P18" s="100">
        <f>(O18/100)*($C$34)</f>
        <v>2724.165</v>
      </c>
      <c r="Q18" s="100">
        <f>(O18/100)*($C$32)</f>
        <v>133.53749999999999</v>
      </c>
      <c r="R18" s="218">
        <f>(M18*88)/(P18*$P$37)</f>
        <v>0.78513128549268041</v>
      </c>
      <c r="S18" s="100">
        <f>(R18/$C$37)*100</f>
        <v>108.44354771998348</v>
      </c>
      <c r="T18" s="365">
        <v>97.31</v>
      </c>
      <c r="U18" s="100">
        <f>(T18)*($C$31)</f>
        <v>75.901800000000009</v>
      </c>
      <c r="V18" s="219">
        <f>Q18*(U18/100)</f>
        <v>101.35736617500001</v>
      </c>
      <c r="X18" s="220">
        <f>P18*0.995</f>
        <v>2710.544175</v>
      </c>
      <c r="Y18" s="100">
        <f>(($C$32)*X18)/($C$34)</f>
        <v>132.86981249999999</v>
      </c>
      <c r="Z18" s="100">
        <f>Y18*0.82</f>
        <v>108.95324624999999</v>
      </c>
      <c r="AA18" s="218">
        <f>(M18*88)/(X18*$P$37)</f>
        <v>0.78907666883686467</v>
      </c>
      <c r="AB18" s="100">
        <f>(AA18/$C$37)*100</f>
        <v>108.98849017083766</v>
      </c>
      <c r="AC18" s="365">
        <v>97.15</v>
      </c>
      <c r="AD18" s="100">
        <f>AC18*$C$31</f>
        <v>75.777000000000001</v>
      </c>
      <c r="AE18" s="219">
        <f>(Z18*AD18)/100</f>
        <v>82.561501410862491</v>
      </c>
    </row>
    <row r="19" spans="2:31" ht="15.75" customHeight="1">
      <c r="F19" s="184">
        <f>F18+10</f>
        <v>180</v>
      </c>
      <c r="G19" s="185">
        <f>($C$8*2/((0.002377)*($C$9)*((F19*22)/15)^2))</f>
        <v>0.15736835308603506</v>
      </c>
      <c r="H19" s="185">
        <f>$C$12+($C$13*G19^2)</f>
        <v>3.9886351027618019E-2</v>
      </c>
      <c r="I19" s="186">
        <f>$C$8*(H19/G19)</f>
        <v>418.01702012528688</v>
      </c>
      <c r="J19" s="186">
        <f>(I19*F19)/375</f>
        <v>200.64816966013768</v>
      </c>
      <c r="K19" s="34"/>
      <c r="L19" s="213"/>
      <c r="M19" s="217">
        <v>170</v>
      </c>
      <c r="N19" s="100">
        <f>(M19/$P$34)*100</f>
        <v>123.09088215608696</v>
      </c>
      <c r="O19" s="100">
        <v>111.06</v>
      </c>
      <c r="P19" s="100">
        <f>(O19/100)*($C$34)</f>
        <v>2832.03</v>
      </c>
      <c r="Q19" s="100">
        <f>(O19/100)*($C$32)</f>
        <v>138.82500000000002</v>
      </c>
      <c r="R19" s="218">
        <f>(M19*88)/(P19*$P$37)</f>
        <v>0.80242930560964321</v>
      </c>
      <c r="S19" s="100">
        <f>(R19/$C$37)*100</f>
        <v>110.83277701790652</v>
      </c>
      <c r="T19" s="365">
        <v>95.16</v>
      </c>
      <c r="U19" s="100">
        <f>(T19)*($C$31)</f>
        <v>74.224800000000002</v>
      </c>
      <c r="V19" s="219">
        <f>Q19*(U19/100)</f>
        <v>103.04257860000001</v>
      </c>
      <c r="X19" s="220">
        <f>P19*0.995</f>
        <v>2817.86985</v>
      </c>
      <c r="Y19" s="100">
        <f>(($C$32)*X19)/($C$34)</f>
        <v>138.130875</v>
      </c>
      <c r="Z19" s="100">
        <f>Y19*0.82</f>
        <v>113.26731749999999</v>
      </c>
      <c r="AA19" s="218">
        <f>(M19*88)/(X19*$P$37)</f>
        <v>0.80646161367803337</v>
      </c>
      <c r="AB19" s="100">
        <f>(AA19/$C$37)*100</f>
        <v>111.38972564613721</v>
      </c>
      <c r="AC19" s="100">
        <v>94.8</v>
      </c>
      <c r="AD19" s="100">
        <f>AC19*$C$31</f>
        <v>73.944000000000003</v>
      </c>
      <c r="AE19" s="219">
        <f>(Z19*AD19)/100</f>
        <v>83.754385252199995</v>
      </c>
    </row>
    <row r="20" spans="2:31" ht="15.75" customHeight="1">
      <c r="F20" s="184">
        <f>F19+10</f>
        <v>190</v>
      </c>
      <c r="G20" s="185">
        <f>($C$8*2/((0.002377)*($C$9)*((F20*22)/15)^2))</f>
        <v>0.1412391867032558</v>
      </c>
      <c r="H20" s="185">
        <f>$C$12+($C$13*G20^2)</f>
        <v>3.958439767962809E-2</v>
      </c>
      <c r="I20" s="186">
        <f>$C$8*(H20/G20)</f>
        <v>462.22761781486554</v>
      </c>
      <c r="J20" s="186">
        <f>(I20*F20)/375</f>
        <v>234.19532635953189</v>
      </c>
      <c r="L20" s="213"/>
      <c r="M20" s="217">
        <v>180</v>
      </c>
      <c r="N20" s="100">
        <f>(M20/$P$34)*100</f>
        <v>130.33152228291561</v>
      </c>
      <c r="O20" s="100">
        <v>114.97</v>
      </c>
      <c r="P20" s="100">
        <f>(O20/100)*($C$34)</f>
        <v>2931.7349999999997</v>
      </c>
      <c r="Q20" s="100">
        <f>(O20/100)*($C$32)</f>
        <v>143.71250000000001</v>
      </c>
      <c r="R20" s="218">
        <f>(M20*88)/(P20*$P$37)</f>
        <v>0.82073603664287154</v>
      </c>
      <c r="S20" s="100">
        <f>(R20/$C$37)*100</f>
        <v>113.36133102802093</v>
      </c>
      <c r="T20" s="365">
        <v>93.09</v>
      </c>
      <c r="U20" s="100">
        <f>(T20)*($C$31)</f>
        <v>72.610200000000006</v>
      </c>
      <c r="V20" s="219">
        <f>Q20*(U20/100)</f>
        <v>104.349933675</v>
      </c>
      <c r="X20" s="220">
        <f>P20*0.995</f>
        <v>2917.0763249999995</v>
      </c>
      <c r="Y20" s="100">
        <f>(($C$32)*X20)/($C$34)</f>
        <v>142.99393749999999</v>
      </c>
      <c r="Z20" s="100">
        <f>Y20*0.82</f>
        <v>117.25502874999998</v>
      </c>
      <c r="AA20" s="218">
        <f>(M20*88)/(X20*$P$37)</f>
        <v>0.8248603383345442</v>
      </c>
      <c r="AB20" s="100">
        <f>(AA20/$C$37)*100</f>
        <v>113.93098595780997</v>
      </c>
      <c r="AC20" s="365">
        <v>93.12</v>
      </c>
      <c r="AD20" s="100">
        <f>AC20*$C$31</f>
        <v>72.633600000000001</v>
      </c>
      <c r="AE20" s="219">
        <f>(Z20*AD20)/100</f>
        <v>85.166548562159988</v>
      </c>
    </row>
    <row r="21" spans="2:31" ht="16.5" customHeight="1">
      <c r="F21" s="184">
        <f>F20+10</f>
        <v>200</v>
      </c>
      <c r="G21" s="185">
        <f>($C$8*2/((0.002377)*($C$9)*((F21*22)/15)^2))</f>
        <v>0.12746836599968839</v>
      </c>
      <c r="H21" s="185">
        <f>$C$12+($C$13*G21^2)</f>
        <v>3.9352408966762564E-2</v>
      </c>
      <c r="I21" s="186">
        <f>$C$8*(H21/G21)</f>
        <v>509.16197458455542</v>
      </c>
      <c r="J21" s="186">
        <f>(I21*F21)/375</f>
        <v>271.55305311176289</v>
      </c>
      <c r="K21" s="34"/>
      <c r="L21" s="213"/>
      <c r="M21" s="217">
        <v>190</v>
      </c>
      <c r="N21" s="100">
        <f>(M21/$P$34)*100</f>
        <v>137.57216240974427</v>
      </c>
      <c r="O21" s="100">
        <v>118.81</v>
      </c>
      <c r="P21" s="100">
        <f>(O21/100)*($C$34)</f>
        <v>3029.6549999999997</v>
      </c>
      <c r="Q21" s="100">
        <f>(O21/100)*($C$32)</f>
        <v>148.51249999999999</v>
      </c>
      <c r="R21" s="218">
        <f>(M21*88)/(P21*$P$37)</f>
        <v>0.83833217393026571</v>
      </c>
      <c r="S21" s="100">
        <f>(R21/$C$37)*100</f>
        <v>115.7917367306997</v>
      </c>
      <c r="T21" s="365">
        <v>90.84</v>
      </c>
      <c r="U21" s="100">
        <f>(T21)*($C$31)</f>
        <v>70.855200000000011</v>
      </c>
      <c r="V21" s="219">
        <f>Q21*(U21/100)</f>
        <v>105.2288289</v>
      </c>
      <c r="X21" s="220">
        <f>P21*0.995</f>
        <v>3014.5067249999997</v>
      </c>
      <c r="Y21" s="100">
        <f>(($C$32)*X21)/($C$34)</f>
        <v>147.76993749999997</v>
      </c>
      <c r="Z21" s="100">
        <f>Y21*0.82</f>
        <v>121.17134874999996</v>
      </c>
      <c r="AA21" s="218">
        <f>(M21*88)/(X21*$P$37)</f>
        <v>0.84254489842237756</v>
      </c>
      <c r="AB21" s="100">
        <f>(AA21/$C$37)*100</f>
        <v>116.37360475447205</v>
      </c>
      <c r="AC21" s="365">
        <v>90.98</v>
      </c>
      <c r="AD21" s="100">
        <f>AC21*$C$31</f>
        <v>70.964400000000012</v>
      </c>
      <c r="AE21" s="219">
        <f>(Z21*AD21)/100</f>
        <v>85.988520612344985</v>
      </c>
    </row>
    <row r="22" spans="2:31" ht="16.5" customHeight="1">
      <c r="B22" s="195" t="s">
        <v>512</v>
      </c>
      <c r="C22" s="196" t="s">
        <v>513</v>
      </c>
      <c r="M22" s="221">
        <v>200</v>
      </c>
      <c r="N22" s="222">
        <f>(M22/$P$34)*100</f>
        <v>144.81280253657292</v>
      </c>
      <c r="O22" s="222">
        <v>122.16</v>
      </c>
      <c r="P22" s="222">
        <f>(O22/100)*($C$34)</f>
        <v>3115.08</v>
      </c>
      <c r="Q22" s="222">
        <f>(O22/100)*($C$32)</f>
        <v>152.69999999999999</v>
      </c>
      <c r="R22" s="223">
        <f>(M22*88)/(P22*$P$37)</f>
        <v>0.85825531300326452</v>
      </c>
      <c r="S22" s="222">
        <f>(R22/$C$37)*100</f>
        <v>118.54355151978793</v>
      </c>
      <c r="T22" s="224">
        <v>88.2</v>
      </c>
      <c r="U22" s="222">
        <f>(T22)*($C$31)</f>
        <v>68.796000000000006</v>
      </c>
      <c r="V22" s="225">
        <f>Q22*(U22/100)</f>
        <v>105.051492</v>
      </c>
      <c r="X22" s="220">
        <f>P22*0.995</f>
        <v>3099.5045999999998</v>
      </c>
      <c r="Y22" s="100">
        <f>(($C$32)*X22)/($C$34)</f>
        <v>151.9365</v>
      </c>
      <c r="Z22" s="100">
        <f>Y22*0.82</f>
        <v>124.58792999999999</v>
      </c>
      <c r="AA22" s="218">
        <f>(M22*88)/(X22*$P$37)</f>
        <v>0.86256815377212515</v>
      </c>
      <c r="AB22" s="100">
        <f>(AA22/$C$37)*100</f>
        <v>119.13924775858082</v>
      </c>
      <c r="AC22" s="224">
        <v>88.43</v>
      </c>
      <c r="AD22" s="100">
        <f>AC22*$C$31</f>
        <v>68.975400000000008</v>
      </c>
      <c r="AE22" s="219">
        <f>(Z22*AD22)/100</f>
        <v>85.935023069220009</v>
      </c>
    </row>
    <row r="23" spans="2:31" ht="15.75" customHeight="1">
      <c r="B23" s="199" t="s">
        <v>401</v>
      </c>
      <c r="C23" s="200" t="s">
        <v>445</v>
      </c>
    </row>
    <row r="24" spans="2:31" ht="16.5" customHeight="1">
      <c r="B24" s="201" t="s">
        <v>488</v>
      </c>
      <c r="C24" s="202">
        <f>(1+((-0.003566)*(0)/(519)))^4.26</f>
        <v>1</v>
      </c>
    </row>
    <row r="25" spans="2:31" ht="15.75" customHeight="1">
      <c r="B25" s="201">
        <v>5000</v>
      </c>
      <c r="C25" s="202">
        <f>(1+((-0.003566)*(B25)/(519)))^4.26</f>
        <v>0.86163521023284417</v>
      </c>
      <c r="O25" s="506" t="s">
        <v>523</v>
      </c>
      <c r="P25" s="506"/>
      <c r="Q25" s="226">
        <f>C32*C31</f>
        <v>97.5</v>
      </c>
      <c r="R25" s="194" t="s">
        <v>500</v>
      </c>
      <c r="X25" s="206">
        <v>19</v>
      </c>
      <c r="Y25" s="207">
        <v>20</v>
      </c>
      <c r="Z25" s="207">
        <v>21</v>
      </c>
      <c r="AA25" s="207">
        <v>22</v>
      </c>
      <c r="AB25" s="207">
        <v>23</v>
      </c>
      <c r="AC25" s="207">
        <v>24</v>
      </c>
      <c r="AD25" s="207">
        <v>25</v>
      </c>
      <c r="AE25" s="208">
        <v>26</v>
      </c>
    </row>
    <row r="26" spans="2:31" ht="30.75" customHeight="1">
      <c r="B26" s="201">
        <v>10000</v>
      </c>
      <c r="C26" s="202">
        <f>(1+((-0.003566)*(B26)/(519)))^4.26</f>
        <v>0.73842045460010342</v>
      </c>
      <c r="X26" s="227" t="s">
        <v>490</v>
      </c>
      <c r="Y26" s="211" t="s">
        <v>488</v>
      </c>
      <c r="Z26" s="507" t="s">
        <v>490</v>
      </c>
      <c r="AA26" s="507"/>
      <c r="AB26" s="507"/>
      <c r="AC26" s="507"/>
      <c r="AD26" s="507"/>
      <c r="AE26" s="507"/>
    </row>
    <row r="27" spans="2:31" ht="30.75" customHeight="1">
      <c r="B27" s="201">
        <v>15000</v>
      </c>
      <c r="C27" s="202">
        <f>(1+((-0.003566)*(B27)/(519)))^4.26</f>
        <v>0.62916515023394459</v>
      </c>
      <c r="O27" s="228" t="s">
        <v>524</v>
      </c>
      <c r="P27" s="229" t="s">
        <v>499</v>
      </c>
      <c r="X27" s="502" t="s">
        <v>516</v>
      </c>
      <c r="Y27" s="503" t="s">
        <v>519</v>
      </c>
      <c r="Z27" s="503" t="s">
        <v>177</v>
      </c>
      <c r="AA27" s="503" t="s">
        <v>517</v>
      </c>
      <c r="AB27" s="365" t="s">
        <v>515</v>
      </c>
      <c r="AC27" s="365" t="s">
        <v>515</v>
      </c>
      <c r="AD27" s="504"/>
      <c r="AE27" s="505" t="s">
        <v>518</v>
      </c>
    </row>
    <row r="28" spans="2:31" ht="21" customHeight="1">
      <c r="B28" s="203">
        <v>20000</v>
      </c>
      <c r="C28" s="204">
        <f>(1+((-0.003566)*(B28)/(519)))^4.26</f>
        <v>0.53273278787632394</v>
      </c>
      <c r="O28" s="230" t="s">
        <v>525</v>
      </c>
      <c r="P28" s="231" t="s">
        <v>500</v>
      </c>
      <c r="X28" s="502"/>
      <c r="Y28" s="503"/>
      <c r="Z28" s="503"/>
      <c r="AA28" s="503"/>
      <c r="AB28" s="365" t="s">
        <v>517</v>
      </c>
      <c r="AC28" s="365" t="s">
        <v>521</v>
      </c>
      <c r="AD28" s="504"/>
      <c r="AE28" s="505"/>
    </row>
    <row r="29" spans="2:31" ht="21" customHeight="1">
      <c r="O29" s="232">
        <f>F14</f>
        <v>130</v>
      </c>
      <c r="P29" s="233">
        <f>J14</f>
        <v>83.459210560639207</v>
      </c>
      <c r="X29" s="214" t="s">
        <v>522</v>
      </c>
      <c r="Y29" s="215" t="s">
        <v>500</v>
      </c>
      <c r="Z29" s="215" t="s">
        <v>500</v>
      </c>
      <c r="AA29" s="215" t="s">
        <v>221</v>
      </c>
      <c r="AB29" s="215" t="s">
        <v>232</v>
      </c>
      <c r="AC29" s="215" t="s">
        <v>232</v>
      </c>
      <c r="AD29" s="215" t="s">
        <v>232</v>
      </c>
      <c r="AE29" s="216" t="s">
        <v>500</v>
      </c>
    </row>
    <row r="30" spans="2:31" ht="21" customHeight="1">
      <c r="O30" s="234" t="s">
        <v>526</v>
      </c>
      <c r="P30" s="233">
        <f>Q25</f>
        <v>97.5</v>
      </c>
      <c r="X30" s="220">
        <f>P8*0.975</f>
        <v>2141.1585000000005</v>
      </c>
      <c r="Y30" s="100">
        <f>($C$32*X30)/$C$34</f>
        <v>104.95875000000002</v>
      </c>
      <c r="Z30" s="100">
        <f>Y30*0.67</f>
        <v>70.322362500000025</v>
      </c>
      <c r="AA30" s="218">
        <f>(M8*88)/(X30*$P$37)</f>
        <v>0.37459169329550457</v>
      </c>
      <c r="AB30" s="100">
        <f>(AA30/$C$37)*100</f>
        <v>51.739184156837645</v>
      </c>
      <c r="AC30" s="365">
        <v>61.53</v>
      </c>
      <c r="AD30" s="100">
        <f>AC30*$C$31</f>
        <v>47.993400000000001</v>
      </c>
      <c r="AE30" s="219">
        <f>(Z30*AD30)/100</f>
        <v>33.75009272407501</v>
      </c>
    </row>
    <row r="31" spans="2:31" ht="21" customHeight="1">
      <c r="B31" s="235" t="s">
        <v>403</v>
      </c>
      <c r="C31" s="194">
        <v>0.78</v>
      </c>
      <c r="D31" s="194"/>
      <c r="O31" s="232">
        <f>F15</f>
        <v>140</v>
      </c>
      <c r="P31" s="233">
        <f>J15</f>
        <v>100.77356215582365</v>
      </c>
      <c r="X31" s="220">
        <f>P9*0.975</f>
        <v>2160.3026250000003</v>
      </c>
      <c r="Y31" s="100">
        <f>($C$32*X31)/$C$34</f>
        <v>105.89718750000003</v>
      </c>
      <c r="Z31" s="100">
        <f>Y31*0.67</f>
        <v>70.951115625000028</v>
      </c>
      <c r="AA31" s="218">
        <f>(M9*88)/(X31*$P$37)</f>
        <v>0.43315083512920932</v>
      </c>
      <c r="AB31" s="100">
        <f>(AA31/$C$37)*100</f>
        <v>59.82746341563665</v>
      </c>
      <c r="AC31" s="365">
        <v>70.930000000000007</v>
      </c>
      <c r="AD31" s="100">
        <f>AC31*$C$31</f>
        <v>55.325400000000009</v>
      </c>
      <c r="AE31" s="219">
        <f>(Z31*AD31)/100</f>
        <v>39.253988523993769</v>
      </c>
    </row>
    <row r="32" spans="2:31" ht="21" customHeight="1">
      <c r="B32" s="506" t="s">
        <v>527</v>
      </c>
      <c r="C32" s="226">
        <f>'ACT 3'!B20</f>
        <v>125</v>
      </c>
      <c r="D32" s="194" t="s">
        <v>500</v>
      </c>
      <c r="E32" s="174" t="s">
        <v>528</v>
      </c>
      <c r="X32" s="220">
        <f>P10*0.975</f>
        <v>2170.4962500000001</v>
      </c>
      <c r="Y32" s="100">
        <f>($C$32*X32)/$C$34</f>
        <v>106.39687499999999</v>
      </c>
      <c r="Z32" s="100">
        <f>Y32*0.67</f>
        <v>71.285906249999996</v>
      </c>
      <c r="AA32" s="218">
        <f>(M10*88)/(X32*$P$37)</f>
        <v>0.49270464492720673</v>
      </c>
      <c r="AB32" s="100">
        <f>(AA32/$C$37)*100</f>
        <v>68.053127752376625</v>
      </c>
      <c r="AC32" s="365">
        <v>78.64</v>
      </c>
      <c r="AD32" s="100">
        <f>AC32*$C$31</f>
        <v>61.339200000000005</v>
      </c>
      <c r="AE32" s="219">
        <f>(Z32*AD32)/100</f>
        <v>43.726204606500005</v>
      </c>
    </row>
    <row r="33" spans="2:31" ht="21" customHeight="1">
      <c r="B33" s="506"/>
      <c r="C33" s="194">
        <f>C32*(550)</f>
        <v>68750</v>
      </c>
      <c r="D33" s="194" t="s">
        <v>529</v>
      </c>
      <c r="X33" s="220">
        <f>P11*0.975</f>
        <v>2190.3862499999996</v>
      </c>
      <c r="Y33" s="100">
        <f>($C$32*X33)/$C$34</f>
        <v>107.37187499999997</v>
      </c>
      <c r="Z33" s="100">
        <f>Y33*0.67</f>
        <v>71.939156249999982</v>
      </c>
      <c r="AA33" s="218">
        <f>(M11*88)/(X33*$P$37)</f>
        <v>0.54925942043034393</v>
      </c>
      <c r="AB33" s="100">
        <f>(AA33/$C$37)*100</f>
        <v>75.864560832920432</v>
      </c>
      <c r="AC33" s="365">
        <v>86.42</v>
      </c>
      <c r="AD33" s="100">
        <f>AC33*$C$31</f>
        <v>67.407600000000002</v>
      </c>
      <c r="AE33" s="219">
        <f>(Z33*AD33)/100</f>
        <v>48.492458688374988</v>
      </c>
    </row>
    <row r="34" spans="2:31" ht="21" customHeight="1">
      <c r="B34" s="506" t="s">
        <v>530</v>
      </c>
      <c r="C34" s="226">
        <f>'ACT 3'!B23</f>
        <v>2550</v>
      </c>
      <c r="D34" s="194" t="s">
        <v>522</v>
      </c>
      <c r="O34" s="508" t="s">
        <v>531</v>
      </c>
      <c r="P34" s="236">
        <f>((P30-P29)/(P31-P29))*(O31-O29)+O29</f>
        <v>138.10933598187177</v>
      </c>
      <c r="Q34" s="237" t="s">
        <v>135</v>
      </c>
      <c r="X34" s="220">
        <f>P12*0.975</f>
        <v>2240.1112499999995</v>
      </c>
      <c r="Y34" s="100">
        <f>($C$32*X34)/$C$34</f>
        <v>109.80937499999997</v>
      </c>
      <c r="Z34" s="100">
        <f>Y34*0.67</f>
        <v>73.572281249999989</v>
      </c>
      <c r="AA34" s="218">
        <f>(M12*88)/(X34*$P$37)</f>
        <v>0.596741336045299</v>
      </c>
      <c r="AB34" s="100">
        <f>(AA34/$C$37)*100</f>
        <v>82.422836470345175</v>
      </c>
      <c r="AC34" s="365">
        <v>92.22</v>
      </c>
      <c r="AD34" s="100">
        <f>AC34*$C$31</f>
        <v>71.931600000000003</v>
      </c>
      <c r="AE34" s="219">
        <f>(Z34*AD34)/100</f>
        <v>52.921719059624991</v>
      </c>
    </row>
    <row r="35" spans="2:31" ht="21" customHeight="1">
      <c r="B35" s="506"/>
      <c r="C35" s="226">
        <f>C34*(1/60)</f>
        <v>42.5</v>
      </c>
      <c r="D35" s="194" t="s">
        <v>532</v>
      </c>
      <c r="O35" s="508"/>
      <c r="P35" s="194">
        <f>P34*(22/15)</f>
        <v>202.56035944007857</v>
      </c>
      <c r="Q35" s="238" t="s">
        <v>133</v>
      </c>
      <c r="X35" s="220">
        <f>P13*0.975</f>
        <v>2315.1959999999999</v>
      </c>
      <c r="Y35" s="100">
        <f>($C$32*X35)/$C$34</f>
        <v>113.49</v>
      </c>
      <c r="Z35" s="100">
        <f>Y35*0.67</f>
        <v>76.038300000000007</v>
      </c>
      <c r="AA35" s="218">
        <f>(M13*88)/(X35*$P$37)</f>
        <v>0.63512708135147744</v>
      </c>
      <c r="AB35" s="100">
        <f>(AA35/$C$37)*100</f>
        <v>87.724734993297986</v>
      </c>
      <c r="AC35" s="365">
        <v>95.97</v>
      </c>
      <c r="AD35" s="100">
        <f>AC35*$C$31</f>
        <v>74.8566</v>
      </c>
      <c r="AE35" s="219">
        <f>(Z35*AD35)/100</f>
        <v>56.919686077800009</v>
      </c>
    </row>
    <row r="36" spans="2:31" ht="21" customHeight="1">
      <c r="B36" s="367" t="s">
        <v>159</v>
      </c>
      <c r="C36" s="194">
        <v>2.3770000000000002E-3</v>
      </c>
      <c r="D36" s="194" t="s">
        <v>160</v>
      </c>
      <c r="O36" s="368" t="s">
        <v>533</v>
      </c>
      <c r="P36" s="226">
        <f>(((C36)*(P35^5))/((C35^2)*(C33)))^(1/5)</f>
        <v>1.4552921368975624</v>
      </c>
      <c r="Q36" s="239"/>
      <c r="X36" s="220">
        <f>P14*0.975</f>
        <v>2360.4457500000003</v>
      </c>
      <c r="Y36" s="100">
        <f>($C$32*X36)/$C$34</f>
        <v>115.70812500000002</v>
      </c>
      <c r="Z36" s="100">
        <f>Y36*0.67</f>
        <v>77.524443750000017</v>
      </c>
      <c r="AA36" s="218">
        <f>(M14*88)/(X36*$P$37)</f>
        <v>0.67958366603347076</v>
      </c>
      <c r="AB36" s="100">
        <f>(AA36/$C$37)*100</f>
        <v>93.865147242192094</v>
      </c>
      <c r="AC36" s="365">
        <v>98.48</v>
      </c>
      <c r="AD36" s="100">
        <f>AC36*$C$31</f>
        <v>76.814400000000006</v>
      </c>
      <c r="AE36" s="219">
        <f>(Z36*AD36)/100</f>
        <v>59.549936319900013</v>
      </c>
    </row>
    <row r="37" spans="2:31" ht="21" customHeight="1">
      <c r="B37" s="367" t="s">
        <v>534</v>
      </c>
      <c r="C37" s="194">
        <v>0.72399999999999998</v>
      </c>
      <c r="D37" s="240"/>
      <c r="O37" s="509" t="s">
        <v>535</v>
      </c>
      <c r="P37" s="194">
        <f>(P35)/(C35*C37)</f>
        <v>6.5830471056249129</v>
      </c>
      <c r="Q37" s="238" t="s">
        <v>401</v>
      </c>
      <c r="X37" s="220">
        <f>P15*0.975</f>
        <v>2419.3698750000003</v>
      </c>
      <c r="Y37" s="100">
        <f>($C$32*X37)/$C$34</f>
        <v>118.59656250000002</v>
      </c>
      <c r="Z37" s="100">
        <f>Y37*0.67</f>
        <v>79.45969687500002</v>
      </c>
      <c r="AA37" s="218">
        <f>(M15*88)/(X37*$P$37)</f>
        <v>0.71828499322768324</v>
      </c>
      <c r="AB37" s="100">
        <f>(AA37/$C$37)*100</f>
        <v>99.210634423713159</v>
      </c>
      <c r="AC37" s="365">
        <v>99.94</v>
      </c>
      <c r="AD37" s="100">
        <f>AC37*$C$31</f>
        <v>77.953199999999995</v>
      </c>
      <c r="AE37" s="219">
        <f>(Z37*AD37)/100</f>
        <v>61.941376424362517</v>
      </c>
    </row>
    <row r="38" spans="2:31" ht="21" customHeight="1">
      <c r="O38" s="509"/>
      <c r="P38" s="241">
        <f>P37*0.3048</f>
        <v>2.0065127577944737</v>
      </c>
      <c r="Q38" s="242" t="s">
        <v>305</v>
      </c>
      <c r="X38" s="220">
        <f>P16*0.975</f>
        <v>2491.471125</v>
      </c>
      <c r="Y38" s="100">
        <f>($C$32*X38)/$C$34</f>
        <v>122.1309375</v>
      </c>
      <c r="Z38" s="100">
        <f>Y38*0.67</f>
        <v>81.827728125000007</v>
      </c>
      <c r="AA38" s="218">
        <f>(M16*88)/(X38*$P$37)</f>
        <v>0.75115210187360548</v>
      </c>
      <c r="AB38" s="100">
        <f>(AA38/$C$37)*100</f>
        <v>103.7502903140339</v>
      </c>
      <c r="AC38" s="365">
        <v>99.89</v>
      </c>
      <c r="AD38" s="100">
        <f>AC38*$C$31</f>
        <v>77.914200000000008</v>
      </c>
      <c r="AE38" s="219">
        <f>(Z38*AD38)/100</f>
        <v>63.755419746768766</v>
      </c>
    </row>
    <row r="39" spans="2:31" ht="21" customHeight="1">
      <c r="X39" s="220">
        <f>P17*0.975</f>
        <v>2582.4678749999998</v>
      </c>
      <c r="Y39" s="100">
        <f>($C$32*X39)/$C$34</f>
        <v>126.59156249999999</v>
      </c>
      <c r="Z39" s="100">
        <f>Y39*0.67</f>
        <v>84.816346875000008</v>
      </c>
      <c r="AA39" s="218">
        <f>(M17*88)/(X39*$P$37)</f>
        <v>0.77644740123733658</v>
      </c>
      <c r="AB39" s="100">
        <f>(AA39/$C$37)*100</f>
        <v>107.2441161930023</v>
      </c>
      <c r="AC39" s="365">
        <v>97.68</v>
      </c>
      <c r="AD39" s="100">
        <f>AC39*$C$31</f>
        <v>76.190400000000011</v>
      </c>
      <c r="AE39" s="219">
        <f>(Z39*AD39)/100</f>
        <v>64.621913949450018</v>
      </c>
    </row>
    <row r="40" spans="2:31" ht="21" customHeight="1">
      <c r="B40" s="243" t="s">
        <v>512</v>
      </c>
      <c r="C40" s="510" t="s">
        <v>536</v>
      </c>
      <c r="D40" s="510"/>
      <c r="X40" s="220">
        <f>P18*0.975</f>
        <v>2656.0608750000001</v>
      </c>
      <c r="Y40" s="100">
        <f>($C$32*X40)/$C$34</f>
        <v>130.1990625</v>
      </c>
      <c r="Z40" s="100">
        <f>Y40*0.67</f>
        <v>87.233371875000003</v>
      </c>
      <c r="AA40" s="218">
        <f>(M18*88)/(X40*$P$37)</f>
        <v>0.80526285691556954</v>
      </c>
      <c r="AB40" s="100">
        <f>(AA40/$C$37)*100</f>
        <v>111.22415150767534</v>
      </c>
      <c r="AC40" s="365">
        <v>96.54</v>
      </c>
      <c r="AD40" s="100">
        <f>AC40*$C$31</f>
        <v>75.301200000000009</v>
      </c>
      <c r="AE40" s="219">
        <f>(Z40*AD40)/100</f>
        <v>65.687775822337514</v>
      </c>
    </row>
    <row r="41" spans="2:31" ht="21" customHeight="1">
      <c r="B41" s="244" t="s">
        <v>401</v>
      </c>
      <c r="C41" s="245" t="s">
        <v>537</v>
      </c>
      <c r="D41" s="246" t="s">
        <v>538</v>
      </c>
      <c r="X41" s="220">
        <f>P19*0.975</f>
        <v>2761.2292500000003</v>
      </c>
      <c r="Y41" s="100">
        <f>($C$32*X41)/$C$34</f>
        <v>135.35437500000003</v>
      </c>
      <c r="Z41" s="100">
        <f>Y41*0.67</f>
        <v>90.687431250000031</v>
      </c>
      <c r="AA41" s="218">
        <f>(M19*88)/(X41*$P$37)</f>
        <v>0.82300441600989038</v>
      </c>
      <c r="AB41" s="100">
        <f>(AA41/$C$37)*100</f>
        <v>113.67464309528874</v>
      </c>
      <c r="AC41" s="365">
        <v>93.41</v>
      </c>
      <c r="AD41" s="100">
        <f>AC41*$C$31</f>
        <v>72.859799999999993</v>
      </c>
      <c r="AE41" s="219">
        <f>(Z41*AD41)/100</f>
        <v>66.074681033887515</v>
      </c>
    </row>
    <row r="42" spans="2:31" ht="21" customHeight="1">
      <c r="B42" s="247">
        <v>5000</v>
      </c>
      <c r="C42" s="248">
        <v>0.82120000000000004</v>
      </c>
      <c r="D42" s="249">
        <v>0.99670000000000003</v>
      </c>
      <c r="X42" s="220">
        <f>P20*0.975</f>
        <v>2858.4416249999995</v>
      </c>
      <c r="Y42" s="100">
        <f>($C$32*X42)/$C$34</f>
        <v>140.11968749999997</v>
      </c>
      <c r="Z42" s="100">
        <f>Y42*0.67</f>
        <v>93.880190624999983</v>
      </c>
      <c r="AA42" s="218">
        <f>(M20*88)/(X42*$P$37)</f>
        <v>0.84178055040294508</v>
      </c>
      <c r="AB42" s="100">
        <f>(AA42/$C$37)*100</f>
        <v>116.26803182361121</v>
      </c>
      <c r="AC42" s="365">
        <v>91.26</v>
      </c>
      <c r="AD42" s="100">
        <f>AC42*$C$31</f>
        <v>71.1828</v>
      </c>
      <c r="AE42" s="219">
        <f>(Z42*AD42)/100</f>
        <v>66.826548332212482</v>
      </c>
    </row>
    <row r="43" spans="2:31" ht="21" customHeight="1">
      <c r="B43" s="250">
        <v>10000</v>
      </c>
      <c r="C43" s="251">
        <v>0.66869999999999996</v>
      </c>
      <c r="D43" s="252">
        <v>0.98309999999999997</v>
      </c>
      <c r="X43" s="220">
        <f>P21*0.975</f>
        <v>2953.9136249999997</v>
      </c>
      <c r="Y43" s="100">
        <f>($C$32*X43)/$C$34</f>
        <v>144.79968749999998</v>
      </c>
      <c r="Z43" s="100">
        <f>Y43*0.67</f>
        <v>97.015790624999994</v>
      </c>
      <c r="AA43" s="218">
        <f>(M21*88)/(X43*$P$37)</f>
        <v>0.85982787069770839</v>
      </c>
      <c r="AB43" s="100">
        <f>(AA43/$C$37)*100</f>
        <v>118.76075562123046</v>
      </c>
      <c r="AC43" s="365">
        <v>88.94</v>
      </c>
      <c r="AD43" s="100">
        <f>AC43*$C$31</f>
        <v>69.373199999999997</v>
      </c>
      <c r="AE43" s="219">
        <f>(Z43*AD43)/100</f>
        <v>67.302958461862488</v>
      </c>
    </row>
    <row r="44" spans="2:31" ht="21" customHeight="1">
      <c r="B44" s="250">
        <v>15000</v>
      </c>
      <c r="C44" s="251">
        <v>0.54759999999999998</v>
      </c>
      <c r="D44" s="252">
        <v>0.95050000000000001</v>
      </c>
      <c r="X44" s="220">
        <f>P22*0.975</f>
        <v>3037.203</v>
      </c>
      <c r="Y44" s="100">
        <f>($C$32*X44)/$C$34</f>
        <v>148.88249999999999</v>
      </c>
      <c r="Z44" s="100">
        <f>Y44*0.67</f>
        <v>99.751275000000007</v>
      </c>
      <c r="AA44" s="218">
        <f>(M22*88)/(X44*$P$37)</f>
        <v>0.88026185949052782</v>
      </c>
      <c r="AB44" s="100">
        <f>(AA44/$C$37)*100</f>
        <v>121.58312976388505</v>
      </c>
      <c r="AC44" s="224">
        <v>86.52</v>
      </c>
      <c r="AD44" s="100">
        <f>AC44*$C$31</f>
        <v>67.485600000000005</v>
      </c>
      <c r="AE44" s="219">
        <f>(Z44*AD44)/100</f>
        <v>67.317746441400018</v>
      </c>
    </row>
    <row r="45" spans="2:31" ht="21" customHeight="1">
      <c r="B45" s="253">
        <v>20000</v>
      </c>
      <c r="C45" s="254">
        <v>0.43609999999999999</v>
      </c>
      <c r="D45" s="255">
        <v>0.89980000000000004</v>
      </c>
    </row>
    <row r="46" spans="2:31" ht="21" customHeight="1">
      <c r="X46" s="206">
        <v>27</v>
      </c>
      <c r="Y46" s="207">
        <v>28</v>
      </c>
      <c r="Z46" s="207">
        <v>29</v>
      </c>
      <c r="AA46" s="207">
        <v>30</v>
      </c>
      <c r="AB46" s="207">
        <v>31</v>
      </c>
      <c r="AC46" s="207">
        <v>32</v>
      </c>
      <c r="AD46" s="207">
        <v>33</v>
      </c>
      <c r="AE46" s="208">
        <v>34</v>
      </c>
    </row>
    <row r="47" spans="2:31" ht="21" customHeight="1">
      <c r="X47" s="256" t="s">
        <v>491</v>
      </c>
      <c r="Y47" s="211" t="s">
        <v>488</v>
      </c>
      <c r="Z47" s="511" t="s">
        <v>491</v>
      </c>
      <c r="AA47" s="511"/>
      <c r="AB47" s="511"/>
      <c r="AC47" s="511"/>
      <c r="AD47" s="511"/>
      <c r="AE47" s="511"/>
    </row>
    <row r="48" spans="2:31" ht="24" customHeight="1">
      <c r="X48" s="502" t="s">
        <v>516</v>
      </c>
      <c r="Y48" s="503" t="s">
        <v>519</v>
      </c>
      <c r="Z48" s="503" t="s">
        <v>177</v>
      </c>
      <c r="AA48" s="503" t="s">
        <v>517</v>
      </c>
      <c r="AB48" s="365" t="s">
        <v>515</v>
      </c>
      <c r="AC48" s="365" t="s">
        <v>515</v>
      </c>
      <c r="AD48" s="504"/>
      <c r="AE48" s="505" t="s">
        <v>518</v>
      </c>
    </row>
    <row r="49" spans="24:31" ht="21" customHeight="1">
      <c r="X49" s="502"/>
      <c r="Y49" s="503"/>
      <c r="Z49" s="503"/>
      <c r="AA49" s="503"/>
      <c r="AB49" s="365" t="s">
        <v>517</v>
      </c>
      <c r="AC49" s="365" t="s">
        <v>521</v>
      </c>
      <c r="AD49" s="504"/>
      <c r="AE49" s="505"/>
    </row>
    <row r="50" spans="24:31" ht="21" customHeight="1">
      <c r="X50" s="214" t="s">
        <v>522</v>
      </c>
      <c r="Y50" s="215" t="s">
        <v>500</v>
      </c>
      <c r="Z50" s="215" t="s">
        <v>500</v>
      </c>
      <c r="AA50" s="215" t="s">
        <v>221</v>
      </c>
      <c r="AB50" s="215" t="s">
        <v>232</v>
      </c>
      <c r="AC50" s="215" t="s">
        <v>232</v>
      </c>
      <c r="AD50" s="215" t="s">
        <v>232</v>
      </c>
      <c r="AE50" s="216" t="s">
        <v>500</v>
      </c>
    </row>
    <row r="51" spans="24:31" ht="21" customHeight="1">
      <c r="X51" s="220">
        <f>P8*0.95</f>
        <v>2086.2570000000001</v>
      </c>
      <c r="Y51" s="100">
        <f>($C$32*X51)/$C$34</f>
        <v>102.2675</v>
      </c>
      <c r="Z51" s="100">
        <f>Y51*0.49</f>
        <v>50.111075</v>
      </c>
      <c r="AA51" s="218">
        <f>(M8*88)/(X51*$P$37)</f>
        <v>0.38444936943486002</v>
      </c>
      <c r="AB51" s="100">
        <f>(AA51/$C$37)*100</f>
        <v>53.100741634649175</v>
      </c>
      <c r="AC51" s="365">
        <v>62.94</v>
      </c>
      <c r="AD51" s="100">
        <f>AC51*$C$31</f>
        <v>49.093200000000003</v>
      </c>
      <c r="AE51" s="219">
        <f>(Z51*AD51)/100</f>
        <v>24.601130271900001</v>
      </c>
    </row>
    <row r="52" spans="24:31" ht="21" customHeight="1">
      <c r="X52" s="220">
        <f>P9*0.95</f>
        <v>2104.9102499999999</v>
      </c>
      <c r="Y52" s="100">
        <f>($C$32*X52)/$C$34</f>
        <v>103.18187500000001</v>
      </c>
      <c r="Z52" s="100">
        <f>Y52*0.49</f>
        <v>50.559118750000003</v>
      </c>
      <c r="AA52" s="218">
        <f>(M9*88)/(X52*$P$37)</f>
        <v>0.44454954131682023</v>
      </c>
      <c r="AB52" s="100">
        <f>(AA52/$C$37)*100</f>
        <v>61.40187034762711</v>
      </c>
      <c r="AC52" s="365">
        <v>72.739999999999995</v>
      </c>
      <c r="AD52" s="100">
        <f>AC52*$C$31</f>
        <v>56.737200000000001</v>
      </c>
      <c r="AE52" s="219">
        <f>(Z52*AD52)/100</f>
        <v>28.685828323425003</v>
      </c>
    </row>
    <row r="53" spans="24:31" ht="21" customHeight="1">
      <c r="X53" s="220">
        <f>P10*0.95</f>
        <v>2114.8425000000002</v>
      </c>
      <c r="Y53" s="100">
        <f>($C$32*X53)/$C$34</f>
        <v>103.66875</v>
      </c>
      <c r="Z53" s="100">
        <f>Y53*0.49</f>
        <v>50.797687500000002</v>
      </c>
      <c r="AA53" s="218">
        <f>(M10*88)/(X53*$P$37)</f>
        <v>0.50567055663581739</v>
      </c>
      <c r="AB53" s="100">
        <f>(AA53/$C$37)*100</f>
        <v>69.843999535333907</v>
      </c>
      <c r="AC53" s="365">
        <v>80.31</v>
      </c>
      <c r="AD53" s="100">
        <f>AC53*$C$31</f>
        <v>62.641800000000003</v>
      </c>
      <c r="AE53" s="219">
        <f>(Z53*AD53)/100</f>
        <v>31.820585808375004</v>
      </c>
    </row>
    <row r="54" spans="24:31" ht="21" customHeight="1">
      <c r="X54" s="220">
        <f>P11*0.95</f>
        <v>2134.2224999999999</v>
      </c>
      <c r="Y54" s="100">
        <f>($C$32*X54)/$C$34</f>
        <v>104.61875000000001</v>
      </c>
      <c r="Z54" s="100">
        <f>Y54*0.49</f>
        <v>51.263187500000001</v>
      </c>
      <c r="AA54" s="218">
        <f>(M11*88)/(X54*$P$37)</f>
        <v>0.56371361570482659</v>
      </c>
      <c r="AB54" s="100">
        <f>(AA54/$C$37)*100</f>
        <v>77.860996644313062</v>
      </c>
      <c r="AC54" s="365">
        <v>87.79</v>
      </c>
      <c r="AD54" s="100">
        <f>AC54*$C$31</f>
        <v>68.476200000000006</v>
      </c>
      <c r="AE54" s="219">
        <f>(Z54*AD54)/100</f>
        <v>35.103082798875</v>
      </c>
    </row>
    <row r="55" spans="24:31" ht="21" customHeight="1">
      <c r="X55" s="220">
        <f>P12*0.95</f>
        <v>2182.6724999999997</v>
      </c>
      <c r="Y55" s="100">
        <f>($C$32*X55)/$C$34</f>
        <v>106.99374999999998</v>
      </c>
      <c r="Z55" s="100">
        <f>Y55*0.49</f>
        <v>52.426937499999987</v>
      </c>
      <c r="AA55" s="218">
        <f>(M12*88)/(X55*$P$37)</f>
        <v>0.61244505541491212</v>
      </c>
      <c r="AB55" s="100">
        <f>(AA55/$C$37)*100</f>
        <v>84.591858482722671</v>
      </c>
      <c r="AC55" s="365">
        <v>93.69</v>
      </c>
      <c r="AD55" s="100">
        <f>AC55*$C$31</f>
        <v>73.078199999999995</v>
      </c>
      <c r="AE55" s="219">
        <f>(Z55*AD55)/100</f>
        <v>38.312662240124986</v>
      </c>
    </row>
    <row r="56" spans="24:31" ht="21" customHeight="1">
      <c r="X56" s="220">
        <f>P13*0.95</f>
        <v>2255.8319999999999</v>
      </c>
      <c r="Y56" s="100">
        <f>($C$32*X56)/$C$34</f>
        <v>110.58</v>
      </c>
      <c r="Z56" s="100">
        <f>Y56*0.49</f>
        <v>54.184199999999997</v>
      </c>
      <c r="AA56" s="218">
        <f>(M13*88)/(X56*$P$37)</f>
        <v>0.65184095191335845</v>
      </c>
      <c r="AB56" s="100">
        <f>(AA56/$C$37)*100</f>
        <v>90.033280651016369</v>
      </c>
      <c r="AC56" s="365">
        <v>96.43</v>
      </c>
      <c r="AD56" s="100">
        <f>AC56*$C$31</f>
        <v>75.215400000000002</v>
      </c>
      <c r="AE56" s="219">
        <f>(Z56*AD56)/100</f>
        <v>40.754862766799995</v>
      </c>
    </row>
    <row r="57" spans="24:31" ht="21" customHeight="1">
      <c r="X57" s="220">
        <f>P14*0.95</f>
        <v>2299.9214999999999</v>
      </c>
      <c r="Y57" s="100">
        <f>($C$32*X57)/$C$34</f>
        <v>112.74124999999999</v>
      </c>
      <c r="Z57" s="100">
        <f>Y57*0.49</f>
        <v>55.243212499999998</v>
      </c>
      <c r="AA57" s="218">
        <f>(M14*88)/(X57*$P$37)</f>
        <v>0.6974674467185622</v>
      </c>
      <c r="AB57" s="100">
        <f>(AA57/$C$37)*100</f>
        <v>96.335282695934012</v>
      </c>
      <c r="AC57" s="365">
        <v>99.22</v>
      </c>
      <c r="AD57" s="100">
        <f>AC57*$C$31</f>
        <v>77.391599999999997</v>
      </c>
      <c r="AE57" s="219">
        <f>(Z57*AD57)/100</f>
        <v>42.753606045150001</v>
      </c>
    </row>
    <row r="58" spans="24:31" ht="21" customHeight="1">
      <c r="X58" s="220">
        <f>P15*0.95</f>
        <v>2357.33475</v>
      </c>
      <c r="Y58" s="100">
        <f>($C$32*X58)/$C$34</f>
        <v>115.55562500000001</v>
      </c>
      <c r="Z58" s="100">
        <f>Y58*0.49</f>
        <v>56.62225625</v>
      </c>
      <c r="AA58" s="218">
        <f>(M15*88)/(X58*$P$37)</f>
        <v>0.73718722989156971</v>
      </c>
      <c r="AB58" s="100">
        <f>(AA58/$C$37)*100</f>
        <v>101.82144059275826</v>
      </c>
      <c r="AC58" s="365">
        <v>99.94</v>
      </c>
      <c r="AD58" s="100">
        <f>AC58*$C$31</f>
        <v>77.953199999999995</v>
      </c>
      <c r="AE58" s="219">
        <f>(Z58*AD58)/100</f>
        <v>44.138860659075</v>
      </c>
    </row>
    <row r="59" spans="24:31" ht="21" customHeight="1">
      <c r="X59" s="220">
        <f>P16*0.95</f>
        <v>2427.58725</v>
      </c>
      <c r="Y59" s="100">
        <f>($C$32*X59)/$C$34</f>
        <v>118.999375</v>
      </c>
      <c r="Z59" s="100">
        <f>Y59*0.49</f>
        <v>58.309693750000001</v>
      </c>
      <c r="AA59" s="218">
        <f>(M16*88)/(X59*$P$37)</f>
        <v>0.77091926244922671</v>
      </c>
      <c r="AB59" s="100">
        <f>(AA59/$C$37)*100</f>
        <v>106.48056111177165</v>
      </c>
      <c r="AC59" s="365">
        <v>98.21</v>
      </c>
      <c r="AD59" s="100">
        <f>AC59*$C$31</f>
        <v>76.603799999999993</v>
      </c>
      <c r="AE59" s="219">
        <f>(Z59*AD59)/100</f>
        <v>44.667441180862497</v>
      </c>
    </row>
    <row r="60" spans="24:31" ht="21" customHeight="1">
      <c r="X60" s="220">
        <f>P17*0.95</f>
        <v>2516.2507499999997</v>
      </c>
      <c r="Y60" s="100">
        <f>($C$32*X60)/$C$34</f>
        <v>123.34562499999998</v>
      </c>
      <c r="Z60" s="100">
        <f>Y60*0.49</f>
        <v>60.439356249999989</v>
      </c>
      <c r="AA60" s="218">
        <f>(M17*88)/(X60*$P$37)</f>
        <v>0.79688022758568766</v>
      </c>
      <c r="AB60" s="100">
        <f>(AA60/$C$37)*100</f>
        <v>110.06632977702868</v>
      </c>
      <c r="AC60" s="100">
        <v>96.1</v>
      </c>
      <c r="AD60" s="100">
        <f>AC60*$C$31</f>
        <v>74.957999999999998</v>
      </c>
      <c r="AE60" s="219">
        <f>(Z60*AD60)/100</f>
        <v>45.304132657874987</v>
      </c>
    </row>
    <row r="61" spans="24:31" ht="21" customHeight="1">
      <c r="X61" s="220">
        <f>P18*0.95</f>
        <v>2587.9567499999998</v>
      </c>
      <c r="Y61" s="100">
        <f>($C$32*X61)/$C$34</f>
        <v>126.860625</v>
      </c>
      <c r="Z61" s="100">
        <f>Y61*0.49</f>
        <v>62.161706250000002</v>
      </c>
      <c r="AA61" s="218">
        <f>(M18*88)/(X61*$P$37)</f>
        <v>0.82645398472913734</v>
      </c>
      <c r="AB61" s="100">
        <f>(AA61/$C$37)*100</f>
        <v>114.15110286314052</v>
      </c>
      <c r="AC61" s="365">
        <v>94.13</v>
      </c>
      <c r="AD61" s="100">
        <f>AC61*$C$31</f>
        <v>73.421400000000006</v>
      </c>
      <c r="AE61" s="219">
        <f>(Z61*AD61)/100</f>
        <v>45.639994992637504</v>
      </c>
    </row>
    <row r="62" spans="24:31" ht="21" customHeight="1">
      <c r="X62" s="220">
        <f>P19*0.95</f>
        <v>2690.4285</v>
      </c>
      <c r="Y62" s="100">
        <f>($C$32*X62)/$C$34</f>
        <v>131.88374999999999</v>
      </c>
      <c r="Z62" s="100">
        <f>Y62*0.49</f>
        <v>64.623037499999995</v>
      </c>
      <c r="AA62" s="218">
        <f>(M19*88)/(X62*$P$37)</f>
        <v>0.84466242695751914</v>
      </c>
      <c r="AB62" s="100">
        <f>(AA62/$C$37)*100</f>
        <v>116.66608107148055</v>
      </c>
      <c r="AC62" s="365">
        <v>90.64</v>
      </c>
      <c r="AD62" s="100">
        <f>AC62*$C$31</f>
        <v>70.699200000000005</v>
      </c>
      <c r="AE62" s="219">
        <f>(Z62*AD62)/100</f>
        <v>45.687970528200005</v>
      </c>
    </row>
    <row r="63" spans="24:31" ht="21" customHeight="1">
      <c r="X63" s="220">
        <f>P20*0.95</f>
        <v>2785.1482499999997</v>
      </c>
      <c r="Y63" s="100">
        <f>($C$32*X63)/$C$34</f>
        <v>136.52687499999999</v>
      </c>
      <c r="Z63" s="100">
        <f>Y63*0.49</f>
        <v>66.898168749999996</v>
      </c>
      <c r="AA63" s="218">
        <f>(M20*88)/(X63*$P$37)</f>
        <v>0.86393267015039099</v>
      </c>
      <c r="AB63" s="100">
        <f>(AA63/$C$37)*100</f>
        <v>119.32771687160097</v>
      </c>
      <c r="AC63" s="365">
        <v>87.82</v>
      </c>
      <c r="AD63" s="100">
        <f>AC63*$C$31</f>
        <v>68.499600000000001</v>
      </c>
      <c r="AE63" s="219">
        <f>(Z63*AD63)/100</f>
        <v>45.824978001074996</v>
      </c>
    </row>
    <row r="64" spans="24:31" ht="21" customHeight="1">
      <c r="X64" s="220">
        <f>P21*0.95</f>
        <v>2878.1722499999996</v>
      </c>
      <c r="Y64" s="100">
        <f>($C$32*X64)/$C$34</f>
        <v>141.08687499999996</v>
      </c>
      <c r="Z64" s="100">
        <f>Y64*0.49</f>
        <v>69.132568749999976</v>
      </c>
      <c r="AA64" s="218">
        <f>(M21*88)/(X64*$P$37)</f>
        <v>0.88245491992659542</v>
      </c>
      <c r="AB64" s="100">
        <f>(AA64/$C$37)*100</f>
        <v>121.8860386638944</v>
      </c>
      <c r="AC64" s="365">
        <v>84.56</v>
      </c>
      <c r="AD64" s="100">
        <f>AC64*$C$31</f>
        <v>65.956800000000001</v>
      </c>
      <c r="AE64" s="219">
        <f>(Z64*AD64)/100</f>
        <v>45.597630105299984</v>
      </c>
    </row>
    <row r="65" spans="24:32" ht="21" customHeight="1">
      <c r="X65" s="220">
        <f>P22*0.95</f>
        <v>2959.3259999999996</v>
      </c>
      <c r="Y65" s="100">
        <f>($C$32*X65)/$C$34</f>
        <v>145.06499999999997</v>
      </c>
      <c r="Z65" s="100">
        <f>Y65*0.49</f>
        <v>71.081849999999989</v>
      </c>
      <c r="AA65" s="218">
        <f>(M22*88)/(X65*$P$37)</f>
        <v>0.90342664526659433</v>
      </c>
      <c r="AB65" s="100">
        <f>(AA65/$C$37)*100</f>
        <v>124.78268581030309</v>
      </c>
      <c r="AC65" s="224">
        <v>81.64</v>
      </c>
      <c r="AD65" s="100">
        <f>AC65*$C$31</f>
        <v>63.679200000000002</v>
      </c>
      <c r="AE65" s="219">
        <f>(Z65*AD65)/100</f>
        <v>45.264353425199999</v>
      </c>
    </row>
    <row r="67" spans="24:32" ht="21" customHeight="1">
      <c r="X67" s="206">
        <v>35</v>
      </c>
      <c r="Y67" s="207">
        <v>36</v>
      </c>
      <c r="Z67" s="207">
        <v>37</v>
      </c>
      <c r="AA67" s="207">
        <v>38</v>
      </c>
      <c r="AB67" s="207">
        <v>39</v>
      </c>
      <c r="AC67" s="207">
        <v>40</v>
      </c>
      <c r="AD67" s="207">
        <v>41</v>
      </c>
      <c r="AE67" s="208">
        <v>42</v>
      </c>
    </row>
    <row r="68" spans="24:32" ht="21" customHeight="1">
      <c r="X68" s="257" t="s">
        <v>492</v>
      </c>
      <c r="Y68" s="211" t="s">
        <v>488</v>
      </c>
      <c r="Z68" s="512" t="s">
        <v>492</v>
      </c>
      <c r="AA68" s="512"/>
      <c r="AB68" s="512"/>
      <c r="AC68" s="512"/>
      <c r="AD68" s="512"/>
      <c r="AE68" s="512"/>
    </row>
    <row r="69" spans="24:32" ht="24" customHeight="1">
      <c r="X69" s="502" t="s">
        <v>516</v>
      </c>
      <c r="Y69" s="503" t="s">
        <v>519</v>
      </c>
      <c r="Z69" s="503" t="s">
        <v>177</v>
      </c>
      <c r="AA69" s="503" t="s">
        <v>517</v>
      </c>
      <c r="AB69" s="365" t="s">
        <v>515</v>
      </c>
      <c r="AC69" s="365" t="s">
        <v>515</v>
      </c>
      <c r="AD69" s="504"/>
      <c r="AE69" s="505" t="s">
        <v>518</v>
      </c>
    </row>
    <row r="70" spans="24:32" ht="21" customHeight="1">
      <c r="X70" s="502"/>
      <c r="Y70" s="503"/>
      <c r="Z70" s="503"/>
      <c r="AA70" s="503"/>
      <c r="AB70" s="365" t="s">
        <v>517</v>
      </c>
      <c r="AC70" s="365" t="s">
        <v>521</v>
      </c>
      <c r="AD70" s="504"/>
      <c r="AE70" s="505"/>
    </row>
    <row r="71" spans="24:32" ht="21" customHeight="1">
      <c r="X71" s="214" t="s">
        <v>522</v>
      </c>
      <c r="Y71" s="215" t="s">
        <v>500</v>
      </c>
      <c r="Z71" s="215" t="s">
        <v>500</v>
      </c>
      <c r="AA71" s="215" t="s">
        <v>221</v>
      </c>
      <c r="AB71" s="215" t="s">
        <v>232</v>
      </c>
      <c r="AC71" s="215" t="s">
        <v>232</v>
      </c>
      <c r="AD71" s="215" t="s">
        <v>232</v>
      </c>
      <c r="AE71" s="216" t="s">
        <v>500</v>
      </c>
    </row>
    <row r="72" spans="24:32" ht="21" customHeight="1">
      <c r="X72" s="220">
        <f>P8*0.905</f>
        <v>1987.4343000000003</v>
      </c>
      <c r="Y72" s="100">
        <f>($C$32*X72)/$C$34</f>
        <v>97.42325000000001</v>
      </c>
      <c r="Z72" s="100">
        <f>Y72*0.44</f>
        <v>42.866230000000002</v>
      </c>
      <c r="AA72" s="218">
        <f>(M8*88)/(X72*$P$37)</f>
        <v>0.40356563642333365</v>
      </c>
      <c r="AB72" s="100">
        <f>(AA72/$C$37)*100</f>
        <v>55.741110003222886</v>
      </c>
      <c r="AC72" s="365">
        <v>66.06</v>
      </c>
      <c r="AD72" s="100">
        <f>AC72*$C$31</f>
        <v>51.526800000000001</v>
      </c>
      <c r="AE72" s="219">
        <f>(Z72*AD72)/100</f>
        <v>22.087596599640001</v>
      </c>
      <c r="AF72" s="366"/>
    </row>
    <row r="73" spans="24:32" ht="21" customHeight="1">
      <c r="X73" s="220">
        <f>P9*0.905</f>
        <v>2005.2039750000001</v>
      </c>
      <c r="Y73" s="100">
        <f>($C$32*X73)/$C$34</f>
        <v>98.294312500000004</v>
      </c>
      <c r="Z73" s="100">
        <f>Y73*0.44</f>
        <v>43.249497500000004</v>
      </c>
      <c r="AA73" s="218">
        <f>(M9*88)/(X73*$P$37)</f>
        <v>0.46665421464196588</v>
      </c>
      <c r="AB73" s="100">
        <f>(AA73/$C$37)*100</f>
        <v>64.455002022370977</v>
      </c>
      <c r="AC73" s="365">
        <v>75.98</v>
      </c>
      <c r="AD73" s="100">
        <f>AC73*$C$31</f>
        <v>59.264400000000002</v>
      </c>
      <c r="AE73" s="219">
        <f>(Z73*AD73)/100</f>
        <v>25.631555196390003</v>
      </c>
    </row>
    <row r="74" spans="24:32" ht="21" customHeight="1">
      <c r="X74" s="220">
        <f>P10*0.905</f>
        <v>2014.6657500000001</v>
      </c>
      <c r="Y74" s="100">
        <f>($C$32*X74)/$C$34</f>
        <v>98.758125000000007</v>
      </c>
      <c r="Z74" s="100">
        <f>Y74*0.44</f>
        <v>43.453575000000001</v>
      </c>
      <c r="AA74" s="218">
        <f>(M10*88)/(X74*$P$37)</f>
        <v>0.53081439646853756</v>
      </c>
      <c r="AB74" s="100">
        <f>(AA74/$C$37)*100</f>
        <v>73.316905589577019</v>
      </c>
      <c r="AC74" s="365">
        <v>84.19</v>
      </c>
      <c r="AD74" s="100">
        <f>AC74*$C$31</f>
        <v>65.668199999999999</v>
      </c>
      <c r="AE74" s="219">
        <f>(Z74*AD74)/100</f>
        <v>28.535180538149998</v>
      </c>
    </row>
    <row r="75" spans="24:32" ht="21" customHeight="1">
      <c r="X75" s="220">
        <f>P11*0.905</f>
        <v>2033.1277499999999</v>
      </c>
      <c r="Y75" s="100">
        <f>($C$32*X75)/$C$34</f>
        <v>99.663124999999994</v>
      </c>
      <c r="Z75" s="100">
        <f>Y75*0.44</f>
        <v>43.851774999999996</v>
      </c>
      <c r="AA75" s="218">
        <f>(M11*88)/(X75*$P$37)</f>
        <v>0.59174357449677928</v>
      </c>
      <c r="AB75" s="100">
        <f>(AA75/$C$37)*100</f>
        <v>81.732537913919785</v>
      </c>
      <c r="AC75" s="365">
        <v>91.03</v>
      </c>
      <c r="AD75" s="100">
        <f>AC75*$C$31</f>
        <v>71.003399999999999</v>
      </c>
      <c r="AE75" s="219">
        <f>(Z75*AD75)/100</f>
        <v>31.136251210349997</v>
      </c>
    </row>
    <row r="76" spans="24:32" ht="21" customHeight="1">
      <c r="X76" s="220">
        <f>P12*0.905</f>
        <v>2079.2827499999999</v>
      </c>
      <c r="Y76" s="100">
        <f>($C$32*X76)/$C$34</f>
        <v>101.92562499999998</v>
      </c>
      <c r="Z76" s="100">
        <f>Y76*0.44</f>
        <v>44.847274999999989</v>
      </c>
      <c r="AA76" s="218">
        <f>(M12*88)/(X76*$P$37)</f>
        <v>0.64289812446869232</v>
      </c>
      <c r="AB76" s="100">
        <f>(AA76/$C$37)*100</f>
        <v>88.798083490150887</v>
      </c>
      <c r="AC76" s="365">
        <v>95.49</v>
      </c>
      <c r="AD76" s="100">
        <f>AC76*$C$31</f>
        <v>74.482199999999992</v>
      </c>
      <c r="AE76" s="219">
        <f>(Z76*AD76)/100</f>
        <v>33.403237060049989</v>
      </c>
    </row>
    <row r="77" spans="24:32" ht="21" customHeight="1">
      <c r="X77" s="220">
        <f>P13*0.905</f>
        <v>2148.9767999999999</v>
      </c>
      <c r="Y77" s="100">
        <f>($C$32*X77)/$C$34</f>
        <v>105.34199999999998</v>
      </c>
      <c r="Z77" s="100">
        <f>Y77*0.44</f>
        <v>46.35047999999999</v>
      </c>
      <c r="AA77" s="218">
        <f>(M13*88)/(X77*$P$37)</f>
        <v>0.68425293294772427</v>
      </c>
      <c r="AB77" s="100">
        <f>(AA77/$C$37)*100</f>
        <v>94.510073611564124</v>
      </c>
      <c r="AC77" s="365">
        <v>98.43</v>
      </c>
      <c r="AD77" s="100">
        <f>AC77*$C$31</f>
        <v>76.775400000000005</v>
      </c>
      <c r="AE77" s="219">
        <f>(Z77*AD77)/100</f>
        <v>35.585766421919992</v>
      </c>
    </row>
    <row r="78" spans="24:32" ht="21" customHeight="1">
      <c r="X78" s="220">
        <f>P14*0.905</f>
        <v>2190.9778500000002</v>
      </c>
      <c r="Y78" s="100">
        <f>($C$32*X78)/$C$34</f>
        <v>107.400875</v>
      </c>
      <c r="Z78" s="100">
        <f>Y78*0.44</f>
        <v>47.256385000000002</v>
      </c>
      <c r="AA78" s="218">
        <f>(M14*88)/(X78*$P$37)</f>
        <v>0.73214814848909826</v>
      </c>
      <c r="AB78" s="100">
        <f>(AA78/$C$37)*100</f>
        <v>101.12543487418483</v>
      </c>
      <c r="AC78" s="365">
        <v>99.5</v>
      </c>
      <c r="AD78" s="100">
        <f>AC78*$C$31</f>
        <v>77.61</v>
      </c>
      <c r="AE78" s="219">
        <f>(Z78*AD78)/100</f>
        <v>36.675680398499999</v>
      </c>
    </row>
    <row r="79" spans="24:32" ht="21" customHeight="1">
      <c r="X79" s="220">
        <f>P15*0.905</f>
        <v>2245.6715250000002</v>
      </c>
      <c r="Y79" s="100">
        <f>($C$32*X79)/$C$34</f>
        <v>110.08193750000002</v>
      </c>
      <c r="Z79" s="100">
        <f>Y79*0.44</f>
        <v>48.43605250000001</v>
      </c>
      <c r="AA79" s="218">
        <f>(M15*88)/(X79*$P$37)</f>
        <v>0.7738429485049626</v>
      </c>
      <c r="AB79" s="100">
        <f>(AA79/$C$37)*100</f>
        <v>106.88438515261916</v>
      </c>
      <c r="AC79" s="365">
        <v>97.47</v>
      </c>
      <c r="AD79" s="100">
        <f>AC79*$C$31</f>
        <v>76.026600000000002</v>
      </c>
      <c r="AE79" s="219">
        <f>(Z79*AD79)/100</f>
        <v>36.82428388996501</v>
      </c>
    </row>
    <row r="80" spans="24:32" ht="21" customHeight="1">
      <c r="X80" s="220">
        <f>P16*0.905</f>
        <v>2312.5962749999999</v>
      </c>
      <c r="Y80" s="100">
        <f>($C$32*X80)/$C$34</f>
        <v>113.3625625</v>
      </c>
      <c r="Z80" s="100">
        <f>Y80*0.44</f>
        <v>49.879527500000002</v>
      </c>
      <c r="AA80" s="218">
        <f>(M16*88)/(X80*$P$37)</f>
        <v>0.80925226444946452</v>
      </c>
      <c r="AB80" s="100">
        <f>(AA80/$C$37)*100</f>
        <v>111.77517464771609</v>
      </c>
      <c r="AC80" s="365">
        <v>95.05</v>
      </c>
      <c r="AD80" s="100">
        <f>AC80*$C$31</f>
        <v>74.138999999999996</v>
      </c>
      <c r="AE80" s="219">
        <f>(Z80*AD80)/100</f>
        <v>36.980182893224999</v>
      </c>
    </row>
    <row r="81" spans="24:31" ht="21" customHeight="1">
      <c r="X81" s="220">
        <f>P17*0.905</f>
        <v>2397.059925</v>
      </c>
      <c r="Y81" s="100">
        <f>($C$32*X81)/$C$34</f>
        <v>117.50293749999999</v>
      </c>
      <c r="Z81" s="100">
        <f>Y81*0.44</f>
        <v>51.701292499999994</v>
      </c>
      <c r="AA81" s="218">
        <f>(M17*88)/(X81*$P$37)</f>
        <v>0.83650410630541783</v>
      </c>
      <c r="AB81" s="100">
        <f>(AA81/$C$37)*100</f>
        <v>115.53924120240578</v>
      </c>
      <c r="AC81" s="365">
        <v>91.94</v>
      </c>
      <c r="AD81" s="100">
        <f>AC81*$C$31</f>
        <v>71.713200000000001</v>
      </c>
      <c r="AE81" s="219">
        <f>(Z81*AD81)/100</f>
        <v>37.076651293109997</v>
      </c>
    </row>
    <row r="82" spans="24:31" ht="21" customHeight="1">
      <c r="X82" s="220">
        <f>P18*0.905</f>
        <v>2465.3693250000001</v>
      </c>
      <c r="Y82" s="100">
        <f>($C$32*X82)/$C$34</f>
        <v>120.8514375</v>
      </c>
      <c r="Z82" s="100">
        <f>Y82*0.44</f>
        <v>53.174632500000001</v>
      </c>
      <c r="AA82" s="218">
        <f>(M18*88)/(X82*$P$37)</f>
        <v>0.8675483817598677</v>
      </c>
      <c r="AB82" s="100">
        <f>(AA82/$C$37)*100</f>
        <v>119.82712455246791</v>
      </c>
      <c r="AC82" s="365">
        <v>88.4</v>
      </c>
      <c r="AD82" s="100">
        <f>AC82*$C$31</f>
        <v>68.952000000000012</v>
      </c>
      <c r="AE82" s="219">
        <f>(Z82*AD82)/100</f>
        <v>36.664972601400009</v>
      </c>
    </row>
    <row r="83" spans="24:31" ht="21" customHeight="1">
      <c r="X83" s="220">
        <f>P19*0.905</f>
        <v>2562.9871500000004</v>
      </c>
      <c r="Y83" s="100">
        <f>($C$32*X83)/$C$34</f>
        <v>125.63662500000002</v>
      </c>
      <c r="Z83" s="100">
        <f>Y83*0.44</f>
        <v>55.280115000000009</v>
      </c>
      <c r="AA83" s="218">
        <f>(M19*88)/(X83*$P$37)</f>
        <v>0.88666221614325214</v>
      </c>
      <c r="AB83" s="100">
        <f>(AA83/$C$37)*100</f>
        <v>122.46715692586356</v>
      </c>
      <c r="AC83" s="365">
        <v>84.31</v>
      </c>
      <c r="AD83" s="100">
        <f>AC83*$C$31</f>
        <v>65.761800000000008</v>
      </c>
      <c r="AE83" s="219">
        <f>(Z83*AD83)/100</f>
        <v>36.353198666070014</v>
      </c>
    </row>
    <row r="84" spans="24:31" ht="21" customHeight="1">
      <c r="X84" s="220">
        <f>P20*0.905</f>
        <v>2653.2201749999999</v>
      </c>
      <c r="Y84" s="100">
        <f>($C$32*X84)/$C$34</f>
        <v>130.05981249999999</v>
      </c>
      <c r="Z84" s="100">
        <f>Y84*0.44</f>
        <v>57.2263175</v>
      </c>
      <c r="AA84" s="218">
        <f>(M20*88)/(X84*$P$37)</f>
        <v>0.90689064822416732</v>
      </c>
      <c r="AB84" s="100">
        <f>(AA84/$C$37)*100</f>
        <v>125.26113925748167</v>
      </c>
      <c r="AC84" s="365">
        <v>79.97</v>
      </c>
      <c r="AD84" s="100">
        <f>AC84*$C$31</f>
        <v>62.376600000000003</v>
      </c>
      <c r="AE84" s="219">
        <f>(Z84*AD84)/100</f>
        <v>35.695831161705001</v>
      </c>
    </row>
    <row r="85" spans="24:31" ht="21" customHeight="1">
      <c r="X85" s="220">
        <f>P21*0.905</f>
        <v>2741.837775</v>
      </c>
      <c r="Y85" s="100">
        <f>($C$32*X85)/$C$34</f>
        <v>134.40381249999999</v>
      </c>
      <c r="Z85" s="100">
        <f>Y85*0.44</f>
        <v>59.137677499999995</v>
      </c>
      <c r="AA85" s="218">
        <f>(M21*88)/(X85*$P$37)</f>
        <v>0.92633389384559739</v>
      </c>
      <c r="AB85" s="100">
        <f>(AA85/$C$37)*100</f>
        <v>127.94667042066263</v>
      </c>
      <c r="AC85" s="365">
        <v>74.48</v>
      </c>
      <c r="AD85" s="100">
        <f>AC85*$C$31</f>
        <v>58.094400000000007</v>
      </c>
      <c r="AE85" s="219">
        <f>(Z85*AD85)/100</f>
        <v>34.355678917560006</v>
      </c>
    </row>
    <row r="86" spans="24:31" ht="21" customHeight="1">
      <c r="X86" s="220">
        <f>P22*0.905</f>
        <v>2819.1473999999998</v>
      </c>
      <c r="Y86" s="100">
        <f>($C$32*X86)/$C$34</f>
        <v>138.1935</v>
      </c>
      <c r="Z86" s="100">
        <f>Y86*0.44</f>
        <v>60.805140000000002</v>
      </c>
      <c r="AA86" s="218">
        <f>(M22*88)/(X86*$P$37)</f>
        <v>0.94834841215830334</v>
      </c>
      <c r="AB86" s="100">
        <f>(AA86/$C$37)*100</f>
        <v>130.987349745622</v>
      </c>
      <c r="AC86" s="222">
        <v>67.900000000000006</v>
      </c>
      <c r="AD86" s="100">
        <f>AC86*$C$31</f>
        <v>52.962000000000003</v>
      </c>
      <c r="AE86" s="219">
        <f>(Z86*AD86)/100</f>
        <v>32.203618246800005</v>
      </c>
    </row>
  </sheetData>
  <mergeCells count="52">
    <mergeCell ref="Z68:AE68"/>
    <mergeCell ref="X69:X70"/>
    <mergeCell ref="Y69:Y70"/>
    <mergeCell ref="Z69:Z70"/>
    <mergeCell ref="AA69:AA70"/>
    <mergeCell ref="AD69:AD70"/>
    <mergeCell ref="AE69:AE70"/>
    <mergeCell ref="Z47:AE47"/>
    <mergeCell ref="X48:X49"/>
    <mergeCell ref="Y48:Y49"/>
    <mergeCell ref="Z48:Z49"/>
    <mergeCell ref="AA48:AA49"/>
    <mergeCell ref="AD48:AD49"/>
    <mergeCell ref="AE48:AE49"/>
    <mergeCell ref="B32:B33"/>
    <mergeCell ref="B34:B35"/>
    <mergeCell ref="O34:O35"/>
    <mergeCell ref="O37:O38"/>
    <mergeCell ref="C40:D40"/>
    <mergeCell ref="C12:D12"/>
    <mergeCell ref="B17:C17"/>
    <mergeCell ref="O25:P25"/>
    <mergeCell ref="Z26:AE26"/>
    <mergeCell ref="X27:X28"/>
    <mergeCell ref="Y27:Y28"/>
    <mergeCell ref="Z27:Z28"/>
    <mergeCell ref="AA27:AA28"/>
    <mergeCell ref="AD27:AD28"/>
    <mergeCell ref="AE27:AE28"/>
    <mergeCell ref="C7:D7"/>
    <mergeCell ref="C8:D8"/>
    <mergeCell ref="C9:D9"/>
    <mergeCell ref="C10:D10"/>
    <mergeCell ref="B11:D11"/>
    <mergeCell ref="Z4:AE4"/>
    <mergeCell ref="M5:M6"/>
    <mergeCell ref="P5:P6"/>
    <mergeCell ref="Q5:Q6"/>
    <mergeCell ref="R5:R6"/>
    <mergeCell ref="U5:U6"/>
    <mergeCell ref="V5:V6"/>
    <mergeCell ref="X5:X6"/>
    <mergeCell ref="Y5:Y6"/>
    <mergeCell ref="Z5:Z6"/>
    <mergeCell ref="AA5:AA6"/>
    <mergeCell ref="AD5:AD6"/>
    <mergeCell ref="AE5:AE6"/>
    <mergeCell ref="G1:I1"/>
    <mergeCell ref="C3:D3"/>
    <mergeCell ref="C4:D4"/>
    <mergeCell ref="F4:J4"/>
    <mergeCell ref="M4:V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K3:AM40"/>
  <sheetViews>
    <sheetView topLeftCell="P1" zoomScale="85" zoomScaleNormal="85" workbookViewId="0">
      <selection activeCell="AP13" sqref="AP13"/>
    </sheetView>
  </sheetViews>
  <sheetFormatPr defaultColWidth="8.7109375" defaultRowHeight="15"/>
  <cols>
    <col min="14" max="15" width="11.42578125" style="1" customWidth="1"/>
    <col min="18" max="18" width="11.42578125" customWidth="1"/>
    <col min="19" max="19" width="12.42578125" style="1" customWidth="1"/>
    <col min="20" max="20" width="11.5703125" style="1" customWidth="1"/>
    <col min="24" max="24" width="12.140625" customWidth="1"/>
    <col min="30" max="30" width="11" customWidth="1"/>
    <col min="36" max="36" width="10.85546875" customWidth="1"/>
  </cols>
  <sheetData>
    <row r="3" spans="11:39" ht="15" customHeight="1">
      <c r="K3" s="13" t="s">
        <v>365</v>
      </c>
      <c r="L3" s="3">
        <f>'ACT 3'!F2</f>
        <v>1649.2521457653345</v>
      </c>
      <c r="M3" s="1" t="s">
        <v>55</v>
      </c>
      <c r="V3" s="4" t="s">
        <v>176</v>
      </c>
      <c r="W3" s="258"/>
    </row>
    <row r="5" spans="11:39" ht="15.75" customHeight="1"/>
    <row r="6" spans="11:39" ht="15" customHeight="1">
      <c r="K6" s="513" t="s">
        <v>488</v>
      </c>
      <c r="L6" s="513"/>
      <c r="M6" s="513"/>
      <c r="N6" s="513"/>
      <c r="O6" s="513"/>
      <c r="Q6" s="514" t="s">
        <v>539</v>
      </c>
      <c r="R6" s="514"/>
      <c r="S6" s="514"/>
      <c r="T6" s="514"/>
      <c r="U6" s="514"/>
      <c r="W6" s="515" t="s">
        <v>540</v>
      </c>
      <c r="X6" s="515"/>
      <c r="Y6" s="515"/>
      <c r="Z6" s="515"/>
      <c r="AA6" s="515"/>
      <c r="AC6" s="511" t="s">
        <v>541</v>
      </c>
      <c r="AD6" s="511"/>
      <c r="AE6" s="511"/>
      <c r="AF6" s="511"/>
      <c r="AG6" s="511"/>
      <c r="AI6" s="512" t="s">
        <v>542</v>
      </c>
      <c r="AJ6" s="512"/>
      <c r="AK6" s="512"/>
      <c r="AL6" s="512"/>
      <c r="AM6" s="512"/>
    </row>
    <row r="7" spans="11:39" ht="18" customHeight="1">
      <c r="K7" s="259" t="s">
        <v>498</v>
      </c>
      <c r="L7" s="259" t="s">
        <v>499</v>
      </c>
      <c r="M7" s="260" t="s">
        <v>518</v>
      </c>
      <c r="N7" s="259" t="s">
        <v>543</v>
      </c>
      <c r="O7" s="259" t="s">
        <v>544</v>
      </c>
      <c r="Q7" s="259" t="s">
        <v>498</v>
      </c>
      <c r="R7" s="259" t="s">
        <v>499</v>
      </c>
      <c r="S7" s="260" t="s">
        <v>518</v>
      </c>
      <c r="T7" s="259" t="s">
        <v>543</v>
      </c>
      <c r="U7" s="259" t="s">
        <v>544</v>
      </c>
      <c r="W7" s="259" t="s">
        <v>498</v>
      </c>
      <c r="X7" s="259" t="s">
        <v>499</v>
      </c>
      <c r="Y7" s="260" t="s">
        <v>518</v>
      </c>
      <c r="Z7" s="259" t="s">
        <v>543</v>
      </c>
      <c r="AA7" s="259" t="s">
        <v>544</v>
      </c>
      <c r="AC7" s="259" t="s">
        <v>498</v>
      </c>
      <c r="AD7" s="259" t="s">
        <v>499</v>
      </c>
      <c r="AE7" s="260" t="s">
        <v>518</v>
      </c>
      <c r="AF7" s="259" t="s">
        <v>543</v>
      </c>
      <c r="AG7" s="259" t="s">
        <v>544</v>
      </c>
      <c r="AI7" s="259" t="s">
        <v>498</v>
      </c>
      <c r="AJ7" s="259" t="s">
        <v>499</v>
      </c>
      <c r="AK7" s="260" t="s">
        <v>518</v>
      </c>
      <c r="AL7" s="259" t="s">
        <v>543</v>
      </c>
      <c r="AM7" s="259" t="s">
        <v>544</v>
      </c>
    </row>
    <row r="8" spans="11:39" ht="15" customHeight="1">
      <c r="K8" s="365" t="s">
        <v>135</v>
      </c>
      <c r="L8" s="365" t="s">
        <v>500</v>
      </c>
      <c r="M8" s="365" t="s">
        <v>500</v>
      </c>
      <c r="N8" s="365" t="s">
        <v>500</v>
      </c>
      <c r="O8" s="365" t="s">
        <v>545</v>
      </c>
      <c r="Q8" s="365" t="s">
        <v>135</v>
      </c>
      <c r="R8" s="365" t="s">
        <v>500</v>
      </c>
      <c r="S8" s="365" t="s">
        <v>500</v>
      </c>
      <c r="T8" s="365" t="s">
        <v>500</v>
      </c>
      <c r="U8" s="365" t="s">
        <v>545</v>
      </c>
      <c r="W8" s="365" t="s">
        <v>135</v>
      </c>
      <c r="X8" s="365" t="s">
        <v>500</v>
      </c>
      <c r="Y8" s="365" t="s">
        <v>500</v>
      </c>
      <c r="Z8" s="365" t="s">
        <v>500</v>
      </c>
      <c r="AA8" s="365" t="s">
        <v>545</v>
      </c>
      <c r="AC8" s="365" t="s">
        <v>135</v>
      </c>
      <c r="AD8" s="365" t="s">
        <v>500</v>
      </c>
      <c r="AE8" s="365" t="s">
        <v>500</v>
      </c>
      <c r="AF8" s="365" t="s">
        <v>500</v>
      </c>
      <c r="AG8" s="365" t="s">
        <v>545</v>
      </c>
      <c r="AI8" s="365" t="s">
        <v>135</v>
      </c>
      <c r="AJ8" s="365" t="s">
        <v>500</v>
      </c>
      <c r="AK8" s="365" t="s">
        <v>500</v>
      </c>
      <c r="AL8" s="365" t="s">
        <v>500</v>
      </c>
      <c r="AM8" s="365" t="s">
        <v>545</v>
      </c>
    </row>
    <row r="9" spans="11:39" ht="15" customHeight="1">
      <c r="K9" s="261">
        <v>60</v>
      </c>
      <c r="L9" s="5">
        <v>30.5733170580517</v>
      </c>
      <c r="M9" s="100">
        <v>50.825225099999997</v>
      </c>
      <c r="N9" s="262">
        <f>M9-L9</f>
        <v>20.251908041948298</v>
      </c>
      <c r="O9" s="262">
        <f>(N9/$L$3)*33000</f>
        <v>405.22182560154471</v>
      </c>
      <c r="Q9" s="263">
        <f>'ACT 10'!L7</f>
        <v>64.638241295322061</v>
      </c>
      <c r="R9" s="5">
        <f>'ACT 10'!M7</f>
        <v>32.936757419945558</v>
      </c>
      <c r="S9" s="100">
        <f>'ACT 11'!AE8</f>
        <v>41.714932390170006</v>
      </c>
      <c r="T9" s="262">
        <f>S9-R9</f>
        <v>8.7781749702244483</v>
      </c>
      <c r="U9" s="262">
        <f>(T9/$L$3)*33000</f>
        <v>175.64310876368819</v>
      </c>
      <c r="W9" s="263"/>
      <c r="X9" s="5"/>
      <c r="Y9" s="100"/>
      <c r="Z9" s="262"/>
      <c r="AA9" s="262"/>
      <c r="AC9" s="263">
        <f>'ACT 10'!P7</f>
        <v>75.643030714142327</v>
      </c>
      <c r="AD9" s="5">
        <f>'ACT 10'!Q7</f>
        <v>38.544306020923649</v>
      </c>
      <c r="AE9" s="100">
        <f>'ACT 11'!AE51</f>
        <v>24.601130271900001</v>
      </c>
      <c r="AF9" s="262">
        <f>AE9-AD9</f>
        <v>-13.943175749023649</v>
      </c>
      <c r="AG9" s="262">
        <f>(AF9/$L$3)*33000</f>
        <v>-278.98996578492233</v>
      </c>
      <c r="AI9" s="263">
        <f>'ACT 10'!R7</f>
        <v>82.204678830324283</v>
      </c>
      <c r="AJ9" s="5">
        <f>'ACT 10'!S7</f>
        <v>41.887828492246953</v>
      </c>
      <c r="AK9" s="100">
        <f>'ACT 11'!AE72</f>
        <v>22.087596599640001</v>
      </c>
      <c r="AL9" s="262">
        <f>AK9-AJ9</f>
        <v>-19.800231892606952</v>
      </c>
      <c r="AM9" s="262">
        <f>(AL9/$L$3)*33000</f>
        <v>-396.18420635906824</v>
      </c>
    </row>
    <row r="10" spans="11:39" ht="15" customHeight="1">
      <c r="K10" s="261">
        <v>70</v>
      </c>
      <c r="L10" s="5">
        <v>31.425319772263698</v>
      </c>
      <c r="M10" s="100">
        <v>57.963884550000003</v>
      </c>
      <c r="N10" s="262">
        <f>M10-L10</f>
        <v>26.538564777736305</v>
      </c>
      <c r="O10" s="262">
        <f>(N10/$L$3)*33000</f>
        <v>531.01197407197935</v>
      </c>
      <c r="Q10" s="263">
        <f>'ACT 10'!L8</f>
        <v>75.411281511209069</v>
      </c>
      <c r="R10" s="5">
        <f>'ACT 10'!M8</f>
        <v>33.854623370370561</v>
      </c>
      <c r="S10" s="100">
        <f>'ACT 11'!AE9</f>
        <v>47.77658188992001</v>
      </c>
      <c r="T10" s="262">
        <f>S10-R10</f>
        <v>13.921958519549449</v>
      </c>
      <c r="U10" s="262">
        <f>(T10/$L$3)*33000</f>
        <v>278.56542877616573</v>
      </c>
      <c r="W10" s="263">
        <f>'ACT 10'!N8</f>
        <v>81.460332951701602</v>
      </c>
      <c r="X10" s="5">
        <f>'ACT 10'!O8</f>
        <v>36.570243025175564</v>
      </c>
      <c r="Y10" s="100">
        <f>'ACT 11'!AE31</f>
        <v>39.253988523993769</v>
      </c>
      <c r="Z10" s="262">
        <f>Y10-X10</f>
        <v>2.6837454988182046</v>
      </c>
      <c r="AA10" s="262">
        <f>(Z10/$L$3)*33000</f>
        <v>53.699248891929052</v>
      </c>
      <c r="AC10" s="263">
        <f>'ACT 10'!P8</f>
        <v>88.250202499832724</v>
      </c>
      <c r="AD10" s="5">
        <f>'ACT 10'!Q8</f>
        <v>39.618440478918075</v>
      </c>
      <c r="AE10" s="100">
        <f>'ACT 11'!AE52</f>
        <v>28.685828323425003</v>
      </c>
      <c r="AF10" s="262">
        <f>AE10-AD10</f>
        <v>-10.932612155493072</v>
      </c>
      <c r="AG10" s="262">
        <f>(AF10/$L$3)*33000</f>
        <v>-218.75139108207944</v>
      </c>
      <c r="AI10" s="263">
        <f>'ACT 10'!R8</f>
        <v>95.905458635378324</v>
      </c>
      <c r="AJ10" s="5">
        <f>'ACT 10'!S8</f>
        <v>43.055138650319563</v>
      </c>
      <c r="AK10" s="100">
        <f>'ACT 11'!AE73</f>
        <v>25.631555196390003</v>
      </c>
      <c r="AL10" s="262">
        <f>AK10-AJ10</f>
        <v>-17.42358345392956</v>
      </c>
      <c r="AM10" s="262">
        <f>(AL10/$L$3)*33000</f>
        <v>-348.62968373635624</v>
      </c>
    </row>
    <row r="11" spans="11:39" ht="15" customHeight="1">
      <c r="K11" s="261">
        <v>80</v>
      </c>
      <c r="L11" s="5">
        <v>34.5028996669663</v>
      </c>
      <c r="M11" s="100">
        <v>65.642616000000004</v>
      </c>
      <c r="N11" s="262">
        <f>M11-L11</f>
        <v>31.139716333033704</v>
      </c>
      <c r="O11" s="262">
        <f>(N11/$L$3)*33000</f>
        <v>623.07673306876313</v>
      </c>
      <c r="Q11" s="263">
        <f>'ACT 10'!L9</f>
        <v>86.184321727096076</v>
      </c>
      <c r="R11" s="5">
        <f>'ACT 10'!M9</f>
        <v>37.170112567694197</v>
      </c>
      <c r="S11" s="100">
        <f>'ACT 11'!AE10</f>
        <v>54.09255512992501</v>
      </c>
      <c r="T11" s="262">
        <f>S11-R11</f>
        <v>16.922442562230813</v>
      </c>
      <c r="U11" s="262">
        <f>(T11/$L$3)*33000</f>
        <v>338.60232105047396</v>
      </c>
      <c r="W11" s="263">
        <f>'ACT 10'!N9</f>
        <v>93.097523373373249</v>
      </c>
      <c r="X11" s="5">
        <f>'ACT 10'!O9</f>
        <v>40.151681352431794</v>
      </c>
      <c r="Y11" s="100">
        <f>'ACT 11'!AE32</f>
        <v>43.726204606500005</v>
      </c>
      <c r="Z11" s="262">
        <f>Y11-X11</f>
        <v>3.574523254068211</v>
      </c>
      <c r="AA11" s="262">
        <f>(Z11/$L$3)*33000</f>
        <v>71.522882469564422</v>
      </c>
      <c r="AC11" s="263">
        <f>'ACT 10'!P9</f>
        <v>100.85737428552311</v>
      </c>
      <c r="AD11" s="5">
        <f>'ACT 10'!Q9</f>
        <v>43.498398320588329</v>
      </c>
      <c r="AE11" s="100">
        <f>'ACT 11'!AE53</f>
        <v>31.820585808375004</v>
      </c>
      <c r="AF11" s="262">
        <f>AE11-AD11</f>
        <v>-11.677812512213325</v>
      </c>
      <c r="AG11" s="262">
        <f>(AF11/$L$3)*33000</f>
        <v>-233.66215644619339</v>
      </c>
      <c r="AI11" s="263">
        <f>'ACT 10'!R9</f>
        <v>109.60623844043236</v>
      </c>
      <c r="AJ11" s="5">
        <f>'ACT 10'!S9</f>
        <v>47.271663097297726</v>
      </c>
      <c r="AK11" s="100">
        <f>'ACT 11'!AE74</f>
        <v>28.535180538149998</v>
      </c>
      <c r="AL11" s="262">
        <f>AK11-AJ11</f>
        <v>-18.736482559147728</v>
      </c>
      <c r="AM11" s="262">
        <f>(AL11/$L$3)*33000</f>
        <v>-374.89957253622453</v>
      </c>
    </row>
    <row r="12" spans="11:39" ht="15" customHeight="1">
      <c r="K12" s="261">
        <v>90</v>
      </c>
      <c r="L12" s="5">
        <v>39.725506931906096</v>
      </c>
      <c r="M12" s="100">
        <v>72.523259249999995</v>
      </c>
      <c r="N12" s="262">
        <f>M12-L12</f>
        <v>32.797752318093899</v>
      </c>
      <c r="O12" s="262">
        <f>(N12/$L$3)*33000</f>
        <v>656.25248951538947</v>
      </c>
      <c r="Q12" s="263">
        <f>'ACT 10'!L10</f>
        <v>96.957361942983084</v>
      </c>
      <c r="R12" s="5">
        <f>'ACT 10'!M10</f>
        <v>42.796448377392259</v>
      </c>
      <c r="S12" s="100">
        <f>'ACT 11'!AE11</f>
        <v>59.473087434149974</v>
      </c>
      <c r="T12" s="262">
        <f>S12-R12</f>
        <v>16.676639056757715</v>
      </c>
      <c r="U12" s="262">
        <f>(T12/$L$3)*33000</f>
        <v>333.68402174648963</v>
      </c>
      <c r="W12" s="263">
        <f>'ACT 10'!N10</f>
        <v>104.73471379504491</v>
      </c>
      <c r="X12" s="5">
        <f>'ACT 10'!O10</f>
        <v>46.229328876402874</v>
      </c>
      <c r="Y12" s="100">
        <f>'ACT 11'!AE33</f>
        <v>48.492458688374988</v>
      </c>
      <c r="Z12" s="262">
        <f>Y12-X12</f>
        <v>2.2631298119721137</v>
      </c>
      <c r="AA12" s="262">
        <f>(Z12/$L$3)*33000</f>
        <v>45.283120587011894</v>
      </c>
      <c r="AC12" s="263">
        <f>'ACT 10'!P10</f>
        <v>113.46454607121349</v>
      </c>
      <c r="AD12" s="5">
        <f>'ACT 10'!Q10</f>
        <v>50.082629016417457</v>
      </c>
      <c r="AE12" s="100">
        <f>'ACT 11'!AE54</f>
        <v>35.103082798875</v>
      </c>
      <c r="AF12" s="262">
        <f>AE12-AD12</f>
        <v>-14.979546217542456</v>
      </c>
      <c r="AG12" s="262">
        <f>(AF12/$L$3)*33000</f>
        <v>-299.72677400974959</v>
      </c>
      <c r="AI12" s="263">
        <f>'ACT 10'!R10</f>
        <v>123.30701824548642</v>
      </c>
      <c r="AJ12" s="5">
        <f>'ACT 10'!S10</f>
        <v>54.42704231181937</v>
      </c>
      <c r="AK12" s="100">
        <f>'ACT 11'!AE75</f>
        <v>31.136251210349997</v>
      </c>
      <c r="AL12" s="262">
        <f>AK12-AJ12</f>
        <v>-23.290791101469374</v>
      </c>
      <c r="AM12" s="262">
        <f>(AL12/$L$3)*33000</f>
        <v>-466.02704645372631</v>
      </c>
    </row>
    <row r="13" spans="11:39" ht="15" customHeight="1">
      <c r="K13" s="261">
        <v>100</v>
      </c>
      <c r="L13" s="5">
        <v>47.1241687909204</v>
      </c>
      <c r="M13" s="263">
        <v>79.958794499999996</v>
      </c>
      <c r="N13" s="264">
        <f>M13-L13</f>
        <v>32.834625709079596</v>
      </c>
      <c r="O13" s="264">
        <f>(N13/$L$3)*33000</f>
        <v>656.99029174026589</v>
      </c>
      <c r="Q13" s="263">
        <f>'ACT 10'!L11</f>
        <v>107.73040215887009</v>
      </c>
      <c r="R13" s="5">
        <f>'ACT 10'!M11</f>
        <v>50.767056552483254</v>
      </c>
      <c r="S13" s="100">
        <f>'ACT 11'!AE12</f>
        <v>64.672149708074983</v>
      </c>
      <c r="T13" s="264">
        <f>S13-R13</f>
        <v>13.905093155591729</v>
      </c>
      <c r="U13" s="264">
        <f>(T13/$L$3)*33000</f>
        <v>278.22796854485193</v>
      </c>
      <c r="W13" s="265">
        <v>112.56</v>
      </c>
      <c r="X13" s="258">
        <f>(((W13-W12)*(X14-X12))/(W14-W12))+X12</f>
        <v>52.018993534450033</v>
      </c>
      <c r="Y13" s="258">
        <v>52.018993534449997</v>
      </c>
      <c r="Z13" s="262">
        <v>0</v>
      </c>
      <c r="AA13" s="262">
        <v>0</v>
      </c>
      <c r="AC13" s="263">
        <f>'ACT 10'!P11</f>
        <v>126.07171785690389</v>
      </c>
      <c r="AD13" s="5">
        <f>'ACT 10'!Q11</f>
        <v>59.410249120500268</v>
      </c>
      <c r="AE13" s="100">
        <f>'ACT 11'!AE55</f>
        <v>38.312662240124986</v>
      </c>
      <c r="AF13" s="266">
        <f>AE13-AD13</f>
        <v>-21.097586880375282</v>
      </c>
      <c r="AG13" s="266">
        <f>(AF13/$L$3)*33000</f>
        <v>-422.14307184017861</v>
      </c>
      <c r="AI13" s="263">
        <f>'ACT 10'!R11</f>
        <v>137.00779805054046</v>
      </c>
      <c r="AJ13" s="5">
        <f>'ACT 10'!S11</f>
        <v>64.563786010059985</v>
      </c>
      <c r="AK13" s="100">
        <f>'ACT 11'!AE76</f>
        <v>33.403237060049989</v>
      </c>
      <c r="AL13" s="266">
        <f>AK13-AJ13</f>
        <v>-31.160548950009996</v>
      </c>
      <c r="AM13" s="266">
        <f>(AL13/$L$3)*33000</f>
        <v>-623.49357433950695</v>
      </c>
    </row>
    <row r="14" spans="11:39" ht="15" customHeight="1">
      <c r="K14" s="261">
        <v>110</v>
      </c>
      <c r="L14" s="5">
        <v>56.790772668259301</v>
      </c>
      <c r="M14" s="100">
        <v>86.234241600000004</v>
      </c>
      <c r="N14" s="262">
        <f>M14-L14</f>
        <v>29.443468931740703</v>
      </c>
      <c r="O14" s="262">
        <f>(N14/$L$3)*33000</f>
        <v>589.13640175775345</v>
      </c>
      <c r="Q14" s="263">
        <f>'ACT 10'!L12</f>
        <v>118.5034423747571</v>
      </c>
      <c r="R14" s="5">
        <f>'ACT 10'!M12</f>
        <v>61.180927784645377</v>
      </c>
      <c r="S14" s="100">
        <f>'ACT 11'!AE13</f>
        <v>70.195547897279994</v>
      </c>
      <c r="T14" s="262">
        <f>S14-R14</f>
        <v>9.014620112634617</v>
      </c>
      <c r="U14" s="262">
        <f>(T14/$L$3)*33000</f>
        <v>180.3741559353229</v>
      </c>
      <c r="W14" s="263">
        <f>'ACT 10'!N11</f>
        <v>116.37190421671657</v>
      </c>
      <c r="X14" s="5">
        <f>'ACT 10'!O11</f>
        <v>54.839292568293679</v>
      </c>
      <c r="Y14" s="100">
        <f>'ACT 11'!AE34</f>
        <v>52.921719059624991</v>
      </c>
      <c r="Z14" s="262">
        <f>Y14-X14</f>
        <v>-1.9175735086686885</v>
      </c>
      <c r="AA14" s="262">
        <f>(Z14/$L$3)*33000</f>
        <v>-38.368860667270319</v>
      </c>
      <c r="AC14" s="263">
        <f>'ACT 10'!P12</f>
        <v>138.67888964259427</v>
      </c>
      <c r="AD14" s="5">
        <f>'ACT 10'!Q12</f>
        <v>71.597102687083492</v>
      </c>
      <c r="AE14" s="100">
        <f>'ACT 11'!AE56</f>
        <v>40.754862766799995</v>
      </c>
      <c r="AF14" s="262">
        <f>AE14-AD14</f>
        <v>-30.842239920283497</v>
      </c>
      <c r="AG14" s="262">
        <f>(AF14/$L$3)*33000</f>
        <v>-617.12450699710848</v>
      </c>
      <c r="AI14" s="263">
        <f>'ACT 10'!R12</f>
        <v>150.70857785559451</v>
      </c>
      <c r="AJ14" s="5">
        <f>'ACT 10'!S12</f>
        <v>77.807787128670171</v>
      </c>
      <c r="AK14" s="100">
        <f>'ACT 11'!AE77</f>
        <v>35.585766421919992</v>
      </c>
      <c r="AL14" s="262">
        <f>AK14-AJ14</f>
        <v>-42.222020706750179</v>
      </c>
      <c r="AM14" s="262">
        <f>(AL14/$L$3)*33000</f>
        <v>-844.82332607557919</v>
      </c>
    </row>
    <row r="15" spans="11:39" ht="15" customHeight="1">
      <c r="K15" s="261">
        <v>120</v>
      </c>
      <c r="L15" s="5">
        <v>68.852707771747305</v>
      </c>
      <c r="M15" s="100">
        <v>90.631860149999994</v>
      </c>
      <c r="N15" s="262">
        <f>M15-L15</f>
        <v>21.779152378252689</v>
      </c>
      <c r="O15" s="262">
        <f>(N15/$L$3)*33000</f>
        <v>435.78056292224551</v>
      </c>
      <c r="Q15" s="267">
        <f>'ACT 10'!L13</f>
        <v>129.27648259064412</v>
      </c>
      <c r="R15" s="268">
        <f>'ACT 10'!M13</f>
        <v>74.175298979774922</v>
      </c>
      <c r="S15" s="268">
        <v>74.175298979774894</v>
      </c>
      <c r="T15" s="262">
        <v>0</v>
      </c>
      <c r="U15" s="262">
        <v>0</v>
      </c>
      <c r="W15" s="4"/>
      <c r="X15" s="4"/>
      <c r="Y15" s="4"/>
      <c r="Z15" s="4"/>
      <c r="AA15" s="4"/>
      <c r="AC15" s="263">
        <f>'ACT 10'!P13</f>
        <v>151.28606142828465</v>
      </c>
      <c r="AD15" s="5">
        <f>'ACT 10'!Q13</f>
        <v>86.803791478835748</v>
      </c>
      <c r="AE15" s="100">
        <f>'ACT 11'!AE57</f>
        <v>42.753606045150001</v>
      </c>
      <c r="AF15" s="262">
        <f>AE15-AD15</f>
        <v>-44.050185433685748</v>
      </c>
      <c r="AG15" s="262">
        <f>(AF15/$L$3)*33000</f>
        <v>-881.40320025902497</v>
      </c>
      <c r="AI15" s="263">
        <f>'ACT 10'!R13</f>
        <v>164.40935766064857</v>
      </c>
      <c r="AJ15" s="5">
        <f>'ACT 10'!S13</f>
        <v>94.33357881624427</v>
      </c>
      <c r="AK15" s="100">
        <f>'ACT 11'!AE78</f>
        <v>36.675680398499999</v>
      </c>
      <c r="AL15" s="262">
        <f>AK15-AJ15</f>
        <v>-57.657898417744271</v>
      </c>
      <c r="AM15" s="262">
        <f>(AL15/$L$3)*33000</f>
        <v>-1153.6808684293749</v>
      </c>
    </row>
    <row r="16" spans="11:39" ht="15" customHeight="1">
      <c r="K16" s="261">
        <v>130</v>
      </c>
      <c r="L16" s="5">
        <v>83.459210560639207</v>
      </c>
      <c r="M16" s="100">
        <v>94.469277825000006</v>
      </c>
      <c r="N16" s="262">
        <f>M16-L16</f>
        <v>11.010067264360799</v>
      </c>
      <c r="O16" s="262">
        <f>(N16/$L$3)*33000</f>
        <v>220.3011957006139</v>
      </c>
      <c r="Q16" s="263"/>
      <c r="R16" s="5"/>
      <c r="S16" s="5"/>
      <c r="T16" s="4"/>
      <c r="U16" s="4"/>
      <c r="W16" s="263"/>
      <c r="X16" s="5"/>
      <c r="Y16" s="100"/>
      <c r="Z16" s="262"/>
      <c r="AA16" s="262"/>
      <c r="AC16" s="263">
        <f>'ACT 10'!P14</f>
        <v>163.89323321397504</v>
      </c>
      <c r="AD16" s="5">
        <f>'ACT 10'!Q14</f>
        <v>105.21846046360839</v>
      </c>
      <c r="AE16" s="100">
        <f>'ACT 11'!AE58</f>
        <v>44.138860659075</v>
      </c>
      <c r="AF16" s="262">
        <f>AE16-AD16</f>
        <v>-61.079599804533395</v>
      </c>
      <c r="AG16" s="262">
        <f>(AF16/$L$3)*33000</f>
        <v>-1222.1459276102694</v>
      </c>
      <c r="AI16" s="263">
        <f>'ACT 10'!R14</f>
        <v>178.11013746570259</v>
      </c>
      <c r="AJ16" s="5">
        <f>'ACT 10'!S14</f>
        <v>114.34562665949591</v>
      </c>
      <c r="AK16" s="100">
        <f>'ACT 11'!AE79</f>
        <v>36.82428388996501</v>
      </c>
      <c r="AL16" s="262">
        <f>AK16-AJ16</f>
        <v>-77.521342769530889</v>
      </c>
      <c r="AM16" s="262">
        <f>(AL16/$L$3)*33000</f>
        <v>-1551.1298972464797</v>
      </c>
    </row>
    <row r="17" spans="11:39" ht="15" customHeight="1">
      <c r="K17" s="265">
        <v>139.63999999999999</v>
      </c>
      <c r="L17" s="268">
        <f>(((K17-K16)*(L18-L16))/(K18-K16))+L16</f>
        <v>100.15024549839731</v>
      </c>
      <c r="M17" s="268">
        <v>100.150245498397</v>
      </c>
      <c r="N17" s="262">
        <v>0</v>
      </c>
      <c r="O17" s="262">
        <f>(N17/$L$3)*33000</f>
        <v>0</v>
      </c>
      <c r="Q17" s="263"/>
      <c r="R17" s="5"/>
      <c r="S17" s="100"/>
      <c r="T17" s="262"/>
      <c r="U17" s="262"/>
      <c r="W17" s="263"/>
      <c r="X17" s="4"/>
      <c r="Z17" s="4"/>
      <c r="AA17" s="4"/>
      <c r="AC17" s="269"/>
      <c r="AD17" s="269"/>
      <c r="AE17" s="270"/>
      <c r="AF17" s="4"/>
      <c r="AG17" s="4"/>
      <c r="AI17" s="269"/>
      <c r="AJ17" s="269"/>
      <c r="AK17" s="270"/>
      <c r="AL17" s="4"/>
      <c r="AM17" s="4"/>
    </row>
    <row r="18" spans="11:39" ht="15" customHeight="1">
      <c r="K18" s="365">
        <v>140</v>
      </c>
      <c r="L18" s="100">
        <v>100.773562155824</v>
      </c>
      <c r="M18" s="100">
        <v>97.255308150000005</v>
      </c>
      <c r="N18" s="262">
        <f>M18-L18</f>
        <v>-3.5182540058239908</v>
      </c>
      <c r="O18" s="262">
        <f>(N18/$L$3)*33000</f>
        <v>-70.396987198288272</v>
      </c>
      <c r="Q18" s="263"/>
      <c r="R18" s="5"/>
      <c r="S18" s="100"/>
      <c r="T18" s="4"/>
      <c r="U18" s="4"/>
      <c r="W18" s="263"/>
      <c r="X18" s="5"/>
      <c r="Y18" s="100"/>
      <c r="Z18" s="4"/>
      <c r="AA18" s="4"/>
      <c r="AC18" s="263">
        <f>'ACT 10'!P15</f>
        <v>176.50040499966545</v>
      </c>
      <c r="AD18" s="5">
        <f>'ACT 10'!Q15</f>
        <v>127.04696095544166</v>
      </c>
      <c r="AE18" s="100">
        <f>'ACT 11'!AE59</f>
        <v>44.667441180862497</v>
      </c>
      <c r="AF18" s="4"/>
      <c r="AG18" s="4"/>
      <c r="AI18" s="263">
        <f>'ACT 10'!R15</f>
        <v>191.81091727075665</v>
      </c>
      <c r="AJ18" s="5">
        <f>'ACT 10'!S15</f>
        <v>138.06763852678674</v>
      </c>
      <c r="AK18" s="100">
        <f>'ACT 11'!AE80</f>
        <v>36.980182893224999</v>
      </c>
      <c r="AL18" s="4"/>
      <c r="AM18" s="4"/>
    </row>
    <row r="19" spans="11:39" ht="15" customHeight="1">
      <c r="K19" s="138"/>
      <c r="L19" s="135"/>
      <c r="M19" s="135"/>
      <c r="N19" s="271"/>
      <c r="O19" s="271"/>
    </row>
    <row r="22" spans="11:39" ht="15.75" customHeight="1"/>
    <row r="23" spans="11:39" ht="15" customHeight="1">
      <c r="K23" s="516" t="s">
        <v>546</v>
      </c>
      <c r="L23" s="516"/>
      <c r="M23" s="516"/>
      <c r="Q23" s="516" t="s">
        <v>547</v>
      </c>
      <c r="R23" s="516"/>
      <c r="S23" s="516"/>
      <c r="W23" s="516" t="s">
        <v>548</v>
      </c>
      <c r="X23" s="516"/>
      <c r="Y23" s="516"/>
      <c r="AC23" s="516" t="s">
        <v>549</v>
      </c>
      <c r="AD23" s="516"/>
      <c r="AE23" s="516"/>
      <c r="AI23" s="516" t="s">
        <v>550</v>
      </c>
      <c r="AJ23" s="516"/>
      <c r="AK23" s="516"/>
    </row>
    <row r="24" spans="11:39" ht="18" customHeight="1">
      <c r="K24" s="272" t="s">
        <v>493</v>
      </c>
      <c r="L24" s="259" t="s">
        <v>499</v>
      </c>
      <c r="M24" s="259" t="s">
        <v>551</v>
      </c>
      <c r="Q24" s="272" t="s">
        <v>493</v>
      </c>
      <c r="R24" s="259" t="s">
        <v>499</v>
      </c>
      <c r="S24" s="259" t="s">
        <v>551</v>
      </c>
      <c r="W24" s="272" t="s">
        <v>493</v>
      </c>
      <c r="X24" s="259" t="s">
        <v>499</v>
      </c>
      <c r="Y24" s="259" t="s">
        <v>551</v>
      </c>
      <c r="AC24" s="272" t="s">
        <v>493</v>
      </c>
      <c r="AD24" s="259" t="s">
        <v>499</v>
      </c>
      <c r="AE24" s="259" t="s">
        <v>551</v>
      </c>
      <c r="AI24" s="272" t="s">
        <v>493</v>
      </c>
      <c r="AJ24" s="259" t="s">
        <v>499</v>
      </c>
      <c r="AK24" s="259" t="s">
        <v>551</v>
      </c>
    </row>
    <row r="25" spans="11:39" ht="15" customHeight="1">
      <c r="K25" s="4" t="s">
        <v>135</v>
      </c>
      <c r="L25" s="365" t="s">
        <v>500</v>
      </c>
      <c r="M25" s="365" t="s">
        <v>500</v>
      </c>
      <c r="Q25" s="4" t="s">
        <v>135</v>
      </c>
      <c r="R25" s="365" t="s">
        <v>500</v>
      </c>
      <c r="S25" s="365" t="s">
        <v>500</v>
      </c>
      <c r="W25" s="4" t="s">
        <v>135</v>
      </c>
      <c r="X25" s="365" t="s">
        <v>500</v>
      </c>
      <c r="Y25" s="365" t="s">
        <v>500</v>
      </c>
      <c r="AC25" s="4" t="s">
        <v>135</v>
      </c>
      <c r="AD25" s="365" t="s">
        <v>500</v>
      </c>
      <c r="AE25" s="365" t="s">
        <v>500</v>
      </c>
      <c r="AI25" s="4" t="s">
        <v>135</v>
      </c>
      <c r="AJ25" s="365" t="s">
        <v>500</v>
      </c>
      <c r="AK25" s="365" t="s">
        <v>500</v>
      </c>
    </row>
    <row r="26" spans="11:39" ht="15" customHeight="1">
      <c r="K26" s="273">
        <f>'ACT 10'!F7</f>
        <v>60</v>
      </c>
      <c r="L26" s="5">
        <f>'ACT 10'!J7</f>
        <v>30.573317058051732</v>
      </c>
      <c r="M26" s="5">
        <f>'ACT 11'!V8</f>
        <v>50.825225100000004</v>
      </c>
      <c r="Q26" s="5">
        <f>'ACT 10'!L7</f>
        <v>64.638241295322061</v>
      </c>
      <c r="R26" s="5">
        <f>'ACT 10'!M7</f>
        <v>32.936757419945558</v>
      </c>
      <c r="S26" s="5">
        <f>'ACT 11'!AE8</f>
        <v>41.714932390170006</v>
      </c>
      <c r="W26" s="5">
        <f>'ACT 10'!N7</f>
        <v>69.823142530029941</v>
      </c>
      <c r="X26" s="5">
        <f>'ACT 10'!O7</f>
        <v>35.578751242669028</v>
      </c>
      <c r="Y26" s="5">
        <f>'ACT 11'!AE30</f>
        <v>33.75009272407501</v>
      </c>
      <c r="Z26" s="9"/>
      <c r="AA26" s="9"/>
      <c r="AB26" s="9"/>
      <c r="AC26" s="5">
        <f>'ACT 10'!P7</f>
        <v>75.643030714142327</v>
      </c>
      <c r="AD26" s="5">
        <f>'ACT 10'!Q7</f>
        <v>38.544306020923649</v>
      </c>
      <c r="AE26" s="5">
        <f>'ACT 11'!AE51</f>
        <v>24.601130271900001</v>
      </c>
      <c r="AF26" s="9"/>
      <c r="AG26" s="9"/>
      <c r="AH26" s="9"/>
      <c r="AI26" s="5">
        <f>'ACT 10'!R7</f>
        <v>82.204678830324283</v>
      </c>
      <c r="AJ26" s="5">
        <f>'ACT 10'!S7</f>
        <v>41.887828492246953</v>
      </c>
      <c r="AK26" s="5">
        <f>'ACT 11'!AE72</f>
        <v>22.087596599640001</v>
      </c>
    </row>
    <row r="27" spans="11:39" ht="15" customHeight="1">
      <c r="K27" s="273">
        <f>'ACT 10'!F8</f>
        <v>70</v>
      </c>
      <c r="L27" s="5">
        <f>'ACT 10'!J8</f>
        <v>31.425319772263663</v>
      </c>
      <c r="M27" s="5">
        <f>'ACT 11'!V9</f>
        <v>57.963884550000003</v>
      </c>
      <c r="Q27" s="5">
        <f>'ACT 10'!L8</f>
        <v>75.411281511209069</v>
      </c>
      <c r="R27" s="5">
        <f>'ACT 10'!M8</f>
        <v>33.854623370370561</v>
      </c>
      <c r="S27" s="5">
        <f>'ACT 11'!AE9</f>
        <v>47.77658188992001</v>
      </c>
      <c r="W27" s="5">
        <f>'ACT 10'!N8</f>
        <v>81.460332951701602</v>
      </c>
      <c r="X27" s="5">
        <f>'ACT 10'!O8</f>
        <v>36.570243025175564</v>
      </c>
      <c r="Y27" s="5">
        <f>'ACT 11'!AE31</f>
        <v>39.253988523993769</v>
      </c>
      <c r="Z27" s="9"/>
      <c r="AA27" s="9"/>
      <c r="AB27" s="9"/>
      <c r="AC27" s="5">
        <f>'ACT 10'!P8</f>
        <v>88.250202499832724</v>
      </c>
      <c r="AD27" s="5">
        <f>'ACT 10'!Q8</f>
        <v>39.618440478918075</v>
      </c>
      <c r="AE27" s="5">
        <f>'ACT 11'!AE52</f>
        <v>28.685828323425003</v>
      </c>
      <c r="AF27" s="9"/>
      <c r="AG27" s="9"/>
      <c r="AH27" s="9"/>
      <c r="AI27" s="5">
        <f>'ACT 10'!R8</f>
        <v>95.905458635378324</v>
      </c>
      <c r="AJ27" s="5">
        <f>'ACT 10'!S8</f>
        <v>43.055138650319563</v>
      </c>
      <c r="AK27" s="5">
        <f>'ACT 11'!AE73</f>
        <v>25.631555196390003</v>
      </c>
    </row>
    <row r="28" spans="11:39" ht="15" customHeight="1">
      <c r="K28" s="273">
        <f>'ACT 10'!F9</f>
        <v>80</v>
      </c>
      <c r="L28" s="5">
        <f>'ACT 10'!J9</f>
        <v>34.502899666966258</v>
      </c>
      <c r="M28" s="5">
        <f>'ACT 11'!V10</f>
        <v>65.642616000000004</v>
      </c>
      <c r="Q28" s="5">
        <f>'ACT 10'!L9</f>
        <v>86.184321727096076</v>
      </c>
      <c r="R28" s="5">
        <f>'ACT 10'!M9</f>
        <v>37.170112567694197</v>
      </c>
      <c r="S28" s="5">
        <f>'ACT 11'!AE10</f>
        <v>54.09255512992501</v>
      </c>
      <c r="W28" s="5">
        <f>'ACT 10'!N9</f>
        <v>93.097523373373249</v>
      </c>
      <c r="X28" s="5">
        <f>'ACT 10'!O9</f>
        <v>40.151681352431794</v>
      </c>
      <c r="Y28" s="5">
        <f>'ACT 11'!AE32</f>
        <v>43.726204606500005</v>
      </c>
      <c r="Z28" s="9"/>
      <c r="AA28" s="9"/>
      <c r="AB28" s="9"/>
      <c r="AC28" s="5">
        <f>'ACT 10'!P9</f>
        <v>100.85737428552311</v>
      </c>
      <c r="AD28" s="5">
        <f>'ACT 10'!Q9</f>
        <v>43.498398320588329</v>
      </c>
      <c r="AE28" s="5">
        <f>'ACT 11'!AE53</f>
        <v>31.820585808375004</v>
      </c>
      <c r="AF28" s="9"/>
      <c r="AG28" s="9"/>
      <c r="AH28" s="9"/>
      <c r="AI28" s="5">
        <f>'ACT 10'!R9</f>
        <v>109.60623844043236</v>
      </c>
      <c r="AJ28" s="5">
        <f>'ACT 10'!S9</f>
        <v>47.271663097297726</v>
      </c>
      <c r="AK28" s="5">
        <f>'ACT 11'!AE74</f>
        <v>28.535180538149998</v>
      </c>
    </row>
    <row r="29" spans="11:39" ht="15" customHeight="1">
      <c r="K29" s="273">
        <f>'ACT 10'!F10</f>
        <v>90</v>
      </c>
      <c r="L29" s="5">
        <f>'ACT 10'!J10</f>
        <v>39.725506931906104</v>
      </c>
      <c r="M29" s="5">
        <f>'ACT 11'!V11</f>
        <v>72.523259249999995</v>
      </c>
      <c r="Q29" s="5">
        <f>'ACT 10'!L10</f>
        <v>96.957361942983084</v>
      </c>
      <c r="R29" s="5">
        <f>'ACT 10'!M10</f>
        <v>42.796448377392259</v>
      </c>
      <c r="S29" s="5">
        <f>'ACT 11'!AE11</f>
        <v>59.473087434149974</v>
      </c>
      <c r="W29" s="5">
        <f>'ACT 10'!N10</f>
        <v>104.73471379504491</v>
      </c>
      <c r="X29" s="5">
        <f>'ACT 10'!O10</f>
        <v>46.229328876402874</v>
      </c>
      <c r="Y29" s="5">
        <f>'ACT 11'!AE33</f>
        <v>48.492458688374988</v>
      </c>
      <c r="Z29" s="9"/>
      <c r="AA29" s="9"/>
      <c r="AB29" s="9"/>
      <c r="AC29" s="5">
        <f>'ACT 10'!P10</f>
        <v>113.46454607121349</v>
      </c>
      <c r="AD29" s="5">
        <f>'ACT 10'!Q10</f>
        <v>50.082629016417457</v>
      </c>
      <c r="AE29" s="5">
        <f>'ACT 11'!AE54</f>
        <v>35.103082798875</v>
      </c>
      <c r="AF29" s="9"/>
      <c r="AG29" s="9"/>
      <c r="AH29" s="9"/>
      <c r="AI29" s="5">
        <f>'ACT 10'!R10</f>
        <v>123.30701824548642</v>
      </c>
      <c r="AJ29" s="5">
        <f>'ACT 10'!S10</f>
        <v>54.42704231181937</v>
      </c>
      <c r="AK29" s="5">
        <f>'ACT 11'!AE75</f>
        <v>31.136251210349997</v>
      </c>
    </row>
    <row r="30" spans="11:39" ht="15" customHeight="1">
      <c r="K30" s="273">
        <f>'ACT 10'!F11</f>
        <v>100</v>
      </c>
      <c r="L30" s="5">
        <f>'ACT 10'!J11</f>
        <v>47.124168790920358</v>
      </c>
      <c r="M30" s="5">
        <f>'ACT 11'!V12</f>
        <v>79.958794499999982</v>
      </c>
      <c r="Q30" s="5">
        <f>'ACT 10'!L11</f>
        <v>107.73040215887009</v>
      </c>
      <c r="R30" s="5">
        <f>'ACT 10'!M11</f>
        <v>50.767056552483254</v>
      </c>
      <c r="S30" s="5">
        <f>'ACT 11'!AE12</f>
        <v>64.672149708074983</v>
      </c>
      <c r="W30" s="5">
        <f>'ACT 10'!N11</f>
        <v>116.37190421671657</v>
      </c>
      <c r="X30" s="5">
        <f>'ACT 10'!O11</f>
        <v>54.839292568293679</v>
      </c>
      <c r="Y30" s="5">
        <f>'ACT 11'!AE34</f>
        <v>52.921719059624991</v>
      </c>
      <c r="Z30" s="9"/>
      <c r="AA30" s="9"/>
      <c r="AB30" s="9"/>
      <c r="AC30" s="5">
        <f>'ACT 10'!P11</f>
        <v>126.07171785690389</v>
      </c>
      <c r="AD30" s="5">
        <f>'ACT 10'!Q11</f>
        <v>59.410249120500268</v>
      </c>
      <c r="AE30" s="5">
        <f>'ACT 11'!AE55</f>
        <v>38.312662240124986</v>
      </c>
      <c r="AF30" s="9"/>
      <c r="AG30" s="9"/>
      <c r="AH30" s="9"/>
      <c r="AI30" s="5">
        <f>'ACT 10'!R11</f>
        <v>137.00779805054046</v>
      </c>
      <c r="AJ30" s="5">
        <f>'ACT 10'!S11</f>
        <v>64.563786010059985</v>
      </c>
      <c r="AK30" s="5">
        <f>'ACT 11'!AE76</f>
        <v>33.403237060049989</v>
      </c>
    </row>
    <row r="31" spans="11:39" ht="15" customHeight="1">
      <c r="K31" s="273">
        <f>'ACT 10'!F12</f>
        <v>110</v>
      </c>
      <c r="L31" s="5">
        <f>'ACT 10'!J12</f>
        <v>56.790772668259258</v>
      </c>
      <c r="M31" s="5">
        <f>'ACT 11'!V13</f>
        <v>86.234241600000004</v>
      </c>
      <c r="Q31" s="5">
        <f>'ACT 10'!L12</f>
        <v>118.5034423747571</v>
      </c>
      <c r="R31" s="5">
        <f>'ACT 10'!M12</f>
        <v>61.180927784645377</v>
      </c>
      <c r="S31" s="5">
        <f>'ACT 11'!AE13</f>
        <v>70.195547897279994</v>
      </c>
      <c r="W31" s="5">
        <f>'ACT 10'!N12</f>
        <v>128.00909463838823</v>
      </c>
      <c r="X31" s="5">
        <f>'ACT 10'!O12</f>
        <v>66.088503573439922</v>
      </c>
      <c r="Y31" s="5">
        <f>'ACT 11'!AE35</f>
        <v>56.919686077800009</v>
      </c>
      <c r="Z31" s="9"/>
      <c r="AA31" s="9"/>
      <c r="AB31" s="9"/>
      <c r="AC31" s="5">
        <f>'ACT 10'!P12</f>
        <v>138.67888964259427</v>
      </c>
      <c r="AD31" s="5">
        <f>'ACT 10'!Q12</f>
        <v>71.597102687083492</v>
      </c>
      <c r="AE31" s="5">
        <f>'ACT 11'!AE56</f>
        <v>40.754862766799995</v>
      </c>
      <c r="AF31" s="9"/>
      <c r="AG31" s="9"/>
      <c r="AH31" s="9"/>
      <c r="AI31" s="5">
        <f>'ACT 10'!R12</f>
        <v>150.70857785559451</v>
      </c>
      <c r="AJ31" s="5">
        <f>'ACT 10'!S12</f>
        <v>77.807787128670171</v>
      </c>
      <c r="AK31" s="5">
        <f>'ACT 11'!AE77</f>
        <v>35.585766421919992</v>
      </c>
    </row>
    <row r="32" spans="11:39" ht="15" customHeight="1">
      <c r="K32" s="273">
        <f>'ACT 10'!F13</f>
        <v>120</v>
      </c>
      <c r="L32" s="5">
        <f>'ACT 10'!J13</f>
        <v>68.852707771747262</v>
      </c>
      <c r="M32" s="5">
        <f>'ACT 11'!V14</f>
        <v>90.631860149999994</v>
      </c>
      <c r="Q32" s="5">
        <f>'ACT 10'!L13</f>
        <v>129.27648259064412</v>
      </c>
      <c r="R32" s="5">
        <f>'ACT 10'!M13</f>
        <v>74.175298979774922</v>
      </c>
      <c r="S32" s="5">
        <f>'ACT 11'!AE14</f>
        <v>74.105137211820008</v>
      </c>
      <c r="W32" s="5">
        <f>'ACT 10'!N13</f>
        <v>139.64628506005988</v>
      </c>
      <c r="X32" s="5">
        <f>'ACT 10'!O13</f>
        <v>80.125207138753495</v>
      </c>
      <c r="Y32" s="5">
        <f>'ACT 11'!AE36</f>
        <v>59.549936319900013</v>
      </c>
      <c r="Z32" s="9"/>
      <c r="AA32" s="9"/>
      <c r="AB32" s="9"/>
      <c r="AC32" s="5">
        <f>'ACT 10'!P13</f>
        <v>151.28606142828465</v>
      </c>
      <c r="AD32" s="5">
        <f>'ACT 10'!Q13</f>
        <v>86.803791478835748</v>
      </c>
      <c r="AE32" s="5">
        <f>'ACT 11'!AE57</f>
        <v>42.753606045150001</v>
      </c>
      <c r="AF32" s="9"/>
      <c r="AG32" s="9"/>
      <c r="AH32" s="9"/>
      <c r="AI32" s="5">
        <f>'ACT 10'!R13</f>
        <v>164.40935766064857</v>
      </c>
      <c r="AJ32" s="5">
        <f>'ACT 10'!S13</f>
        <v>94.33357881624427</v>
      </c>
      <c r="AK32" s="5">
        <f>'ACT 11'!AE78</f>
        <v>36.675680398499999</v>
      </c>
    </row>
    <row r="33" spans="11:37" ht="15" customHeight="1">
      <c r="K33" s="273">
        <f>'ACT 10'!F14</f>
        <v>130</v>
      </c>
      <c r="L33" s="5">
        <f>'ACT 10'!J14</f>
        <v>83.459210560639207</v>
      </c>
      <c r="M33" s="5">
        <f>'ACT 11'!V15</f>
        <v>94.469277824999992</v>
      </c>
      <c r="Q33" s="5">
        <f>'ACT 10'!L14</f>
        <v>140.04952280653112</v>
      </c>
      <c r="R33" s="5">
        <f>'ACT 10'!M14</f>
        <v>89.910943175594795</v>
      </c>
      <c r="S33" s="5">
        <f>'ACT 11'!AE15</f>
        <v>77.363902066034996</v>
      </c>
      <c r="W33" s="5">
        <f>'ACT 10'!N14</f>
        <v>151.28347548173153</v>
      </c>
      <c r="X33" s="5">
        <f>'ACT 10'!O14</f>
        <v>97.123072573654852</v>
      </c>
      <c r="Y33" s="5">
        <f>'ACT 11'!AE37</f>
        <v>61.941376424362517</v>
      </c>
      <c r="Z33" s="9"/>
      <c r="AA33" s="9"/>
      <c r="AB33" s="9"/>
      <c r="AC33" s="5">
        <f>'ACT 10'!P14</f>
        <v>163.89323321397504</v>
      </c>
      <c r="AD33" s="5">
        <f>'ACT 10'!Q14</f>
        <v>105.21846046360839</v>
      </c>
      <c r="AE33" s="5">
        <f>'ACT 11'!AE58</f>
        <v>44.138860659075</v>
      </c>
      <c r="AF33" s="9"/>
      <c r="AG33" s="9"/>
      <c r="AH33" s="9"/>
      <c r="AI33" s="5">
        <f>'ACT 10'!R14</f>
        <v>178.11013746570259</v>
      </c>
      <c r="AJ33" s="5">
        <f>'ACT 10'!S14</f>
        <v>114.34562665949591</v>
      </c>
      <c r="AK33" s="5">
        <f>'ACT 11'!AE79</f>
        <v>36.82428388996501</v>
      </c>
    </row>
    <row r="34" spans="11:37" ht="15" customHeight="1">
      <c r="K34" s="273">
        <f>'ACT 10'!F15</f>
        <v>140</v>
      </c>
      <c r="L34" s="5">
        <f>'ACT 10'!J15</f>
        <v>100.77356215582365</v>
      </c>
      <c r="M34" s="5">
        <f>'ACT 11'!V16</f>
        <v>97.255308150000019</v>
      </c>
      <c r="Q34" s="5">
        <f>'ACT 10'!L15</f>
        <v>150.82256302241814</v>
      </c>
      <c r="R34" s="5">
        <f>'ACT 10'!M15</f>
        <v>108.56376378028774</v>
      </c>
      <c r="S34" s="5">
        <f>'ACT 11'!AE16</f>
        <v>79.701362063895004</v>
      </c>
      <c r="W34" s="5">
        <f>'ACT 10'!N15</f>
        <v>162.9206659034032</v>
      </c>
      <c r="X34" s="5">
        <f>'ACT 10'!O15</f>
        <v>117.27211322774843</v>
      </c>
      <c r="Y34" s="5">
        <f>'ACT 11'!AE38</f>
        <v>63.755419746768766</v>
      </c>
      <c r="Z34" s="9"/>
      <c r="AA34" s="9"/>
      <c r="AB34" s="9"/>
      <c r="AC34" s="5">
        <f>'ACT 10'!P15</f>
        <v>176.50040499966545</v>
      </c>
      <c r="AD34" s="5">
        <f>'ACT 10'!Q15</f>
        <v>127.04696095544166</v>
      </c>
      <c r="AE34" s="5">
        <f>'ACT 11'!AE59</f>
        <v>44.667441180862497</v>
      </c>
      <c r="AF34" s="9"/>
      <c r="AG34" s="9"/>
      <c r="AH34" s="9"/>
      <c r="AI34" s="5">
        <f>'ACT 10'!R15</f>
        <v>191.81091727075665</v>
      </c>
      <c r="AJ34" s="5">
        <f>'ACT 10'!S15</f>
        <v>138.06763852678674</v>
      </c>
      <c r="AK34" s="5">
        <f>'ACT 11'!AE80</f>
        <v>36.980182893224999</v>
      </c>
    </row>
    <row r="35" spans="11:37" ht="15" customHeight="1">
      <c r="K35" s="273">
        <f>'ACT 10'!F16</f>
        <v>150</v>
      </c>
      <c r="L35" s="5">
        <f>'ACT 10'!J16</f>
        <v>120.96840678594509</v>
      </c>
      <c r="M35" s="5">
        <f>'ACT 11'!V17</f>
        <v>99.349058249999999</v>
      </c>
      <c r="Q35" s="5">
        <f>'ACT 10'!L16</f>
        <v>161.59560323830513</v>
      </c>
      <c r="R35" s="5">
        <f>'ACT 10'!M16</f>
        <v>130.31975111567655</v>
      </c>
      <c r="S35" s="5">
        <f>'ACT 11'!AE17</f>
        <v>81.513355271887491</v>
      </c>
      <c r="W35" s="5">
        <f>'ACT 10'!N16</f>
        <v>174.55785632507485</v>
      </c>
      <c r="X35" s="5">
        <f>'ACT 10'!O16</f>
        <v>140.77323847742809</v>
      </c>
      <c r="Y35" s="5">
        <f>'ACT 11'!AE39</f>
        <v>64.621913949450018</v>
      </c>
      <c r="Z35" s="9"/>
      <c r="AA35" s="9"/>
      <c r="AB35" s="9"/>
      <c r="AC35" s="5">
        <f>'ACT 10'!P16</f>
        <v>189.10757678535583</v>
      </c>
      <c r="AD35" s="5">
        <f>'ACT 10'!Q16</f>
        <v>152.50694849916846</v>
      </c>
      <c r="AE35" s="5">
        <f>'ACT 11'!AE60</f>
        <v>45.304132657874987</v>
      </c>
      <c r="AF35" s="9"/>
      <c r="AG35" s="9"/>
      <c r="AH35" s="9"/>
      <c r="AI35" s="5">
        <f>'ACT 10'!R16</f>
        <v>205.5116970758107</v>
      </c>
      <c r="AJ35" s="5">
        <f>'ACT 10'!S16</f>
        <v>165.73615047424394</v>
      </c>
      <c r="AK35" s="5">
        <f>'ACT 11'!AE81</f>
        <v>37.076651293109997</v>
      </c>
    </row>
    <row r="36" spans="11:37" ht="15" customHeight="1">
      <c r="K36" s="273">
        <f>'ACT 10'!F17</f>
        <v>160</v>
      </c>
      <c r="L36" s="5">
        <f>'ACT 10'!J17</f>
        <v>144.22282581623011</v>
      </c>
      <c r="M36" s="5">
        <f>'ACT 11'!V18</f>
        <v>101.35736617500001</v>
      </c>
      <c r="Q36" s="5">
        <f>'ACT 10'!L17</f>
        <v>172.36864345419215</v>
      </c>
      <c r="R36" s="5">
        <f>'ACT 10'!M17</f>
        <v>155.37183025671141</v>
      </c>
      <c r="S36" s="5">
        <f>'ACT 11'!AE18</f>
        <v>82.561501410862491</v>
      </c>
      <c r="W36" s="5">
        <f>'ACT 10'!N17</f>
        <v>186.1950467467465</v>
      </c>
      <c r="X36" s="5">
        <f>'ACT 10'!O17</f>
        <v>167.83484871750528</v>
      </c>
      <c r="Y36" s="5">
        <f>'ACT 11'!AE40</f>
        <v>65.687775822337514</v>
      </c>
      <c r="Z36" s="9"/>
      <c r="AA36" s="9"/>
      <c r="AB36" s="9"/>
      <c r="AC36" s="5">
        <f>'ACT 10'!P17</f>
        <v>201.71474857104621</v>
      </c>
      <c r="AD36" s="5">
        <f>'ACT 10'!Q17</f>
        <v>181.82419404829156</v>
      </c>
      <c r="AE36" s="5">
        <f>'ACT 11'!AE61</f>
        <v>45.639994992637504</v>
      </c>
      <c r="AF36" s="9"/>
      <c r="AG36" s="9"/>
      <c r="AH36" s="9"/>
      <c r="AI36" s="5">
        <f>'ACT 10'!R17</f>
        <v>219.21247688086473</v>
      </c>
      <c r="AJ36" s="5">
        <f>'ACT 10'!S17</f>
        <v>197.59651793708329</v>
      </c>
      <c r="AK36" s="5">
        <f>'ACT 11'!AE82</f>
        <v>36.664972601400009</v>
      </c>
    </row>
    <row r="37" spans="11:37" ht="15" customHeight="1">
      <c r="K37" s="273">
        <f>'ACT 10'!F18</f>
        <v>170</v>
      </c>
      <c r="L37" s="5">
        <f>'ACT 10'!J18</f>
        <v>170.7204444730221</v>
      </c>
      <c r="M37" s="5">
        <f>'ACT 11'!V19</f>
        <v>103.04257860000001</v>
      </c>
      <c r="Q37" s="5">
        <f>'ACT 10'!L18</f>
        <v>183.14168367007915</v>
      </c>
      <c r="R37" s="5">
        <f>'ACT 10'!M18</f>
        <v>183.91782139819722</v>
      </c>
      <c r="S37" s="5">
        <f>'ACT 11'!AE19</f>
        <v>83.754385252199995</v>
      </c>
      <c r="W37" s="5">
        <f>'ACT 10'!N18</f>
        <v>197.83223716841817</v>
      </c>
      <c r="X37" s="5">
        <f>'ACT 10'!O18</f>
        <v>198.67063212049808</v>
      </c>
      <c r="Y37" s="5">
        <f>'ACT 11'!AE41</f>
        <v>66.074681033887515</v>
      </c>
      <c r="Z37" s="9"/>
      <c r="AA37" s="9"/>
      <c r="AB37" s="9"/>
      <c r="AC37" s="5">
        <f>'ACT 10'!P18</f>
        <v>214.3219203567366</v>
      </c>
      <c r="AD37" s="5">
        <f>'ACT 10'!Q18</f>
        <v>215.23019708008067</v>
      </c>
      <c r="AE37" s="5">
        <f>'ACT 11'!AE62</f>
        <v>45.687970528200005</v>
      </c>
      <c r="AF37" s="9"/>
      <c r="AG37" s="9"/>
      <c r="AH37" s="9"/>
      <c r="AI37" s="5">
        <f>'ACT 10'!R18</f>
        <v>232.91325668591878</v>
      </c>
      <c r="AJ37" s="5">
        <f>'ACT 10'!S18</f>
        <v>233.90032179458319</v>
      </c>
      <c r="AK37" s="5">
        <f>'ACT 11'!AE83</f>
        <v>36.353198666070014</v>
      </c>
    </row>
    <row r="38" spans="11:37" ht="15" customHeight="1">
      <c r="K38" s="273">
        <f>'ACT 10'!F19</f>
        <v>180</v>
      </c>
      <c r="L38" s="5">
        <f>'ACT 10'!J19</f>
        <v>200.64816966013768</v>
      </c>
      <c r="M38" s="5">
        <f>'ACT 11'!V20</f>
        <v>104.349933675</v>
      </c>
      <c r="Q38" s="5">
        <f>'ACT 10'!L19</f>
        <v>193.91472388596617</v>
      </c>
      <c r="R38" s="5">
        <f>'ACT 10'!M19</f>
        <v>216.1590800992783</v>
      </c>
      <c r="S38" s="5">
        <f>'ACT 11'!AE20</f>
        <v>85.166548562159988</v>
      </c>
      <c r="W38" s="5">
        <f>'ACT 10'!N19</f>
        <v>209.46942759008982</v>
      </c>
      <c r="X38" s="5">
        <f>'ACT 10'!O19</f>
        <v>233.49809580949037</v>
      </c>
      <c r="Y38" s="5">
        <f>'ACT 11'!AE42</f>
        <v>66.826548332212482</v>
      </c>
      <c r="Z38" s="9"/>
      <c r="AA38" s="9"/>
      <c r="AB38" s="9"/>
      <c r="AC38" s="5">
        <f>'ACT 10'!P19</f>
        <v>226.92909214242698</v>
      </c>
      <c r="AD38" s="5">
        <f>'ACT 10'!Q19</f>
        <v>252.96059433897059</v>
      </c>
      <c r="AE38" s="5">
        <f>'ACT 11'!AE63</f>
        <v>45.824978001074996</v>
      </c>
      <c r="AF38" s="9"/>
      <c r="AG38" s="9"/>
      <c r="AH38" s="9"/>
      <c r="AI38" s="5">
        <f>'ACT 10'!R19</f>
        <v>246.61403649097284</v>
      </c>
      <c r="AJ38" s="5">
        <f>'ACT 10'!S19</f>
        <v>274.90363908006725</v>
      </c>
      <c r="AK38" s="5">
        <f>'ACT 11'!AE84</f>
        <v>35.695831161705001</v>
      </c>
    </row>
    <row r="39" spans="11:37" ht="15" customHeight="1">
      <c r="K39" s="273">
        <f>'ACT 10'!F20</f>
        <v>190</v>
      </c>
      <c r="L39" s="5">
        <f>'ACT 10'!J20</f>
        <v>234.19532635953189</v>
      </c>
      <c r="M39" s="5">
        <f>'ACT 11'!V21</f>
        <v>105.2288289</v>
      </c>
      <c r="Q39" s="5">
        <f>'ACT 10'!L20</f>
        <v>204.68776410185316</v>
      </c>
      <c r="R39" s="5">
        <f>'ACT 10'!M20</f>
        <v>252.299566924402</v>
      </c>
      <c r="S39" s="5">
        <f>'ACT 11'!AE21</f>
        <v>85.988520612344985</v>
      </c>
      <c r="W39" s="5">
        <f>'ACT 10'!N20</f>
        <v>221.10661801176147</v>
      </c>
      <c r="X39" s="5">
        <f>'ACT 10'!O20</f>
        <v>272.53756087114124</v>
      </c>
      <c r="Y39" s="5">
        <f>'ACT 11'!AE43</f>
        <v>67.302958461862488</v>
      </c>
      <c r="Z39" s="9"/>
      <c r="AA39" s="9"/>
      <c r="AB39" s="9"/>
      <c r="AC39" s="5">
        <f>'ACT 10'!P20</f>
        <v>239.53626392811739</v>
      </c>
      <c r="AD39" s="5">
        <f>'ACT 10'!Q20</f>
        <v>295.25407108204428</v>
      </c>
      <c r="AE39" s="5">
        <f>'ACT 11'!AE64</f>
        <v>45.597630105299984</v>
      </c>
      <c r="AF39" s="9"/>
      <c r="AG39" s="9"/>
      <c r="AH39" s="9"/>
      <c r="AI39" s="5">
        <f>'ACT 10'!R20</f>
        <v>260.31481629602689</v>
      </c>
      <c r="AJ39" s="5">
        <f>'ACT 10'!S20</f>
        <v>320.8658597824716</v>
      </c>
      <c r="AK39" s="5">
        <f>'ACT 11'!AE85</f>
        <v>34.355678917560006</v>
      </c>
    </row>
    <row r="40" spans="11:37" ht="15" customHeight="1">
      <c r="K40" s="273">
        <f>'ACT 10'!F21</f>
        <v>200</v>
      </c>
      <c r="L40" s="5">
        <f>'ACT 10'!J21</f>
        <v>271.55305311176289</v>
      </c>
      <c r="M40" s="5">
        <f>'ACT 11'!V22</f>
        <v>105.051492</v>
      </c>
      <c r="Q40" s="5">
        <f>'ACT 10'!L21</f>
        <v>215.46080431774018</v>
      </c>
      <c r="R40" s="5">
        <f>'ACT 10'!M21</f>
        <v>292.54519619199226</v>
      </c>
      <c r="S40" s="5">
        <f>'ACT 11'!AE22</f>
        <v>85.935023069220009</v>
      </c>
      <c r="W40" s="5">
        <f>'ACT 10'!N21</f>
        <v>232.74380843343314</v>
      </c>
      <c r="X40" s="5">
        <f>'ACT 10'!O21</f>
        <v>316.0114588647902</v>
      </c>
      <c r="Y40" s="5">
        <f>'ACT 11'!AE44</f>
        <v>67.317746441400018</v>
      </c>
      <c r="Z40" s="9"/>
      <c r="AA40" s="9"/>
      <c r="AB40" s="9"/>
      <c r="AC40" s="5">
        <f>'ACT 10'!P21</f>
        <v>252.14343571380778</v>
      </c>
      <c r="AD40" s="5">
        <f>'ACT 10'!Q21</f>
        <v>342.35159895087008</v>
      </c>
      <c r="AE40" s="5">
        <f>'ACT 11'!AE65</f>
        <v>45.264353425199999</v>
      </c>
      <c r="AF40" s="9"/>
      <c r="AG40" s="9"/>
      <c r="AH40" s="9"/>
      <c r="AI40" s="5">
        <f>'ACT 10'!R21</f>
        <v>274.01559610108092</v>
      </c>
      <c r="AJ40" s="5">
        <f>'ACT 10'!S21</f>
        <v>372.04885860744099</v>
      </c>
      <c r="AK40" s="5">
        <f>'ACT 11'!AE86</f>
        <v>32.203618246800005</v>
      </c>
    </row>
  </sheetData>
  <mergeCells count="10">
    <mergeCell ref="K23:M23"/>
    <mergeCell ref="Q23:S23"/>
    <mergeCell ref="W23:Y23"/>
    <mergeCell ref="AC23:AE23"/>
    <mergeCell ref="AI23:AK23"/>
    <mergeCell ref="K6:O6"/>
    <mergeCell ref="Q6:U6"/>
    <mergeCell ref="W6:AA6"/>
    <mergeCell ref="AC6:AG6"/>
    <mergeCell ref="AI6:AM6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63"/>
  <sheetViews>
    <sheetView topLeftCell="P1" zoomScale="130" zoomScaleNormal="130" workbookViewId="0">
      <selection activeCell="AN16" sqref="AN16"/>
    </sheetView>
  </sheetViews>
  <sheetFormatPr defaultColWidth="8.7109375" defaultRowHeight="15"/>
  <cols>
    <col min="9" max="9" width="9.42578125" style="1" customWidth="1"/>
    <col min="28" max="28" width="12.7109375" style="1" customWidth="1"/>
    <col min="29" max="29" width="10.42578125" style="1" customWidth="1"/>
    <col min="34" max="34" width="12.7109375" style="1" customWidth="1"/>
    <col min="36" max="36" width="10.5703125" style="1" customWidth="1"/>
  </cols>
  <sheetData>
    <row r="1" spans="1:36" ht="15.75" customHeight="1">
      <c r="A1" s="274">
        <v>1</v>
      </c>
      <c r="B1" s="274">
        <v>2</v>
      </c>
      <c r="C1" s="274">
        <v>3</v>
      </c>
      <c r="D1" s="274">
        <v>4</v>
      </c>
      <c r="E1" s="274">
        <v>5</v>
      </c>
      <c r="F1" s="274">
        <v>6</v>
      </c>
      <c r="G1" s="274">
        <v>7</v>
      </c>
      <c r="H1" s="274">
        <v>8</v>
      </c>
      <c r="I1" s="274">
        <v>9</v>
      </c>
      <c r="J1" s="274">
        <v>10</v>
      </c>
      <c r="K1" s="274">
        <v>11</v>
      </c>
      <c r="L1" s="274">
        <v>12</v>
      </c>
      <c r="M1" s="274">
        <v>13</v>
      </c>
      <c r="N1" s="274">
        <v>14</v>
      </c>
      <c r="O1" s="274">
        <v>15</v>
      </c>
      <c r="P1" s="274">
        <v>16</v>
      </c>
      <c r="Q1" s="274">
        <v>17</v>
      </c>
      <c r="R1" s="274">
        <v>18</v>
      </c>
      <c r="S1" s="274">
        <v>19</v>
      </c>
      <c r="T1" s="274">
        <v>20</v>
      </c>
      <c r="U1" s="274">
        <v>21</v>
      </c>
      <c r="V1" s="274">
        <v>22</v>
      </c>
      <c r="W1" s="274">
        <v>23</v>
      </c>
      <c r="AA1" s="275" t="s">
        <v>498</v>
      </c>
      <c r="AB1" s="275" t="s">
        <v>551</v>
      </c>
      <c r="AC1" s="275" t="s">
        <v>552</v>
      </c>
      <c r="AD1" s="276" t="s">
        <v>543</v>
      </c>
      <c r="AE1" s="276" t="s">
        <v>544</v>
      </c>
      <c r="AH1" s="277" t="s">
        <v>553</v>
      </c>
      <c r="AI1" s="278" t="s">
        <v>544</v>
      </c>
      <c r="AJ1" s="279" t="s">
        <v>554</v>
      </c>
    </row>
    <row r="2" spans="1:36" ht="15" customHeight="1">
      <c r="C2" s="517" t="s">
        <v>555</v>
      </c>
      <c r="D2" s="517"/>
      <c r="E2" s="518" t="s">
        <v>556</v>
      </c>
      <c r="F2" s="518"/>
      <c r="H2" s="517" t="s">
        <v>555</v>
      </c>
      <c r="I2" s="517"/>
      <c r="J2" s="517"/>
      <c r="K2" s="517"/>
      <c r="L2" s="517"/>
      <c r="M2" s="517"/>
      <c r="N2" s="517"/>
      <c r="O2" s="517"/>
      <c r="P2" s="518" t="s">
        <v>556</v>
      </c>
      <c r="Q2" s="518"/>
      <c r="R2" s="518"/>
      <c r="S2" s="518"/>
      <c r="T2" s="518"/>
      <c r="U2" s="518"/>
      <c r="V2" s="518"/>
      <c r="W2" s="518"/>
      <c r="AA2" s="280">
        <v>69.33</v>
      </c>
      <c r="AB2" s="280">
        <v>37.479999999999997</v>
      </c>
      <c r="AC2" s="280">
        <f>D4</f>
        <v>35.326584578947916</v>
      </c>
      <c r="AD2" s="5">
        <v>0</v>
      </c>
      <c r="AE2" s="5">
        <v>0</v>
      </c>
      <c r="AH2" s="1" t="s">
        <v>488</v>
      </c>
      <c r="AI2" s="1">
        <v>615.23</v>
      </c>
      <c r="AJ2" s="1">
        <v>0</v>
      </c>
    </row>
    <row r="3" spans="1:36" ht="45" customHeight="1">
      <c r="A3" s="259" t="s">
        <v>493</v>
      </c>
      <c r="B3" s="259" t="s">
        <v>557</v>
      </c>
      <c r="C3" s="259" t="s">
        <v>498</v>
      </c>
      <c r="D3" s="259" t="s">
        <v>499</v>
      </c>
      <c r="E3" s="259" t="s">
        <v>498</v>
      </c>
      <c r="F3" s="259" t="s">
        <v>499</v>
      </c>
      <c r="G3" s="259" t="s">
        <v>516</v>
      </c>
      <c r="H3" s="259" t="s">
        <v>516</v>
      </c>
      <c r="I3" s="259" t="s">
        <v>558</v>
      </c>
      <c r="J3" s="259" t="s">
        <v>177</v>
      </c>
      <c r="K3" s="259" t="s">
        <v>559</v>
      </c>
      <c r="L3" s="259" t="s">
        <v>560</v>
      </c>
      <c r="M3" s="259" t="s">
        <v>561</v>
      </c>
      <c r="N3" s="259"/>
      <c r="O3" s="259" t="s">
        <v>551</v>
      </c>
      <c r="P3" s="259" t="s">
        <v>516</v>
      </c>
      <c r="Q3" s="259" t="s">
        <v>558</v>
      </c>
      <c r="R3" s="259" t="s">
        <v>177</v>
      </c>
      <c r="S3" s="259" t="s">
        <v>559</v>
      </c>
      <c r="T3" s="259" t="s">
        <v>560</v>
      </c>
      <c r="U3" s="259" t="s">
        <v>561</v>
      </c>
      <c r="V3" s="259"/>
      <c r="W3" s="259" t="s">
        <v>551</v>
      </c>
      <c r="AA3" s="280">
        <v>80.88</v>
      </c>
      <c r="AB3" s="280">
        <v>43.54</v>
      </c>
      <c r="AC3" s="280">
        <f>D5</f>
        <v>36.311049100345812</v>
      </c>
      <c r="AD3" s="5">
        <f>AB3-AC3</f>
        <v>7.2289508996541869</v>
      </c>
      <c r="AE3" s="5">
        <f>(AD3/1565.5)*33000</f>
        <v>152.38286789433928</v>
      </c>
      <c r="AH3" s="281">
        <v>1000</v>
      </c>
      <c r="AI3" s="282">
        <f>615.23-((AH3)*(615.23)/11386.4)</f>
        <v>561.1979969085927</v>
      </c>
      <c r="AJ3" s="282">
        <f>(11386.4/615.23)*(LN(11386.4/(11386.4-AH3)))</f>
        <v>1.7012584662993993</v>
      </c>
    </row>
    <row r="4" spans="1:36" ht="15" customHeight="1">
      <c r="A4" s="365">
        <v>60</v>
      </c>
      <c r="B4" s="263">
        <f>'ACT 10'!J7</f>
        <v>30.573317058051732</v>
      </c>
      <c r="C4" s="5">
        <f>A4/SQRT(0.749)</f>
        <v>69.32826656369177</v>
      </c>
      <c r="D4" s="5">
        <f>B4/SQRT(0.749)</f>
        <v>35.326584578947916</v>
      </c>
      <c r="E4" s="5">
        <f>A4/SQRT(0.707)</f>
        <v>71.357815025441269</v>
      </c>
      <c r="F4" s="5">
        <f>B4/SQRT(0.707)</f>
        <v>36.36075172237706</v>
      </c>
      <c r="G4" s="263">
        <f>'ACT 11'!P8</f>
        <v>2196.0600000000004</v>
      </c>
      <c r="H4" s="5">
        <f>G4*0.976</f>
        <v>2143.3545600000002</v>
      </c>
      <c r="I4" s="5">
        <f>(130*H4)/'ACT 11'!$C$34</f>
        <v>109.26905600000002</v>
      </c>
      <c r="J4" s="5">
        <f>I4*0.685</f>
        <v>74.849303360000022</v>
      </c>
      <c r="K4" s="5">
        <f>(A4*88)/(H4*6.35)</f>
        <v>0.38794144399148123</v>
      </c>
      <c r="L4" s="283">
        <f>(K4/'ACT 11'!$C$37)*100</f>
        <v>53.583072374513982</v>
      </c>
      <c r="M4" s="5">
        <v>64.2</v>
      </c>
      <c r="N4" s="5">
        <f>M4*0.78</f>
        <v>50.076000000000001</v>
      </c>
      <c r="O4" s="5">
        <f>(J4*N4)/100</f>
        <v>37.481537150553613</v>
      </c>
      <c r="P4" s="5">
        <f>G4*0.96</f>
        <v>2108.2176000000004</v>
      </c>
      <c r="Q4" s="5">
        <f>(130*P4)/2800</f>
        <v>97.881531428571449</v>
      </c>
      <c r="R4" s="5">
        <f>Q4*0.642</f>
        <v>62.839943177142871</v>
      </c>
      <c r="S4" s="5">
        <f>(A4*88)/(P4*6.35)</f>
        <v>0.39440713472467259</v>
      </c>
      <c r="T4" s="283">
        <f>(S4/'ACT 11'!$C$37)*100</f>
        <v>54.476123580755889</v>
      </c>
      <c r="U4" s="5">
        <v>65.42</v>
      </c>
      <c r="V4" s="5">
        <f>U4*0.78</f>
        <v>51.0276</v>
      </c>
      <c r="W4" s="5">
        <f>(R4*V4)/100</f>
        <v>32.065714844659759</v>
      </c>
      <c r="Z4" s="1" t="s">
        <v>562</v>
      </c>
      <c r="AA4" s="284">
        <v>92.44</v>
      </c>
      <c r="AB4" s="284">
        <v>48.37</v>
      </c>
      <c r="AC4" s="284">
        <f>D6</f>
        <v>39.867103755529143</v>
      </c>
      <c r="AD4" s="285">
        <f>AB4-AC4</f>
        <v>8.502896244470854</v>
      </c>
      <c r="AE4" s="285">
        <f>(AD4/1565.5)*33000</f>
        <v>179.23703357875323</v>
      </c>
      <c r="AH4" s="4">
        <v>2000</v>
      </c>
      <c r="AI4" s="282">
        <f>615.23-((AH4)*(615.23)/11386.4)</f>
        <v>507.16599381718544</v>
      </c>
      <c r="AJ4" s="282">
        <f>(11386.4/615.23)*(LN(11386.4/(11386.4-AH4)))</f>
        <v>3.5748781573067285</v>
      </c>
    </row>
    <row r="5" spans="1:36" ht="15" customHeight="1">
      <c r="A5" s="365">
        <v>70</v>
      </c>
      <c r="B5" s="263">
        <f>'ACT 10'!J8</f>
        <v>31.425319772263663</v>
      </c>
      <c r="C5" s="5">
        <f>A5/SQRT(0.749)</f>
        <v>80.882977657640396</v>
      </c>
      <c r="D5" s="5">
        <f>B5/SQRT(0.749)</f>
        <v>36.311049100345812</v>
      </c>
      <c r="E5" s="5">
        <f>A5/SQRT(0.707)</f>
        <v>83.25078419634815</v>
      </c>
      <c r="F5" s="5">
        <f>B5/SQRT(0.707)</f>
        <v>37.374035923742213</v>
      </c>
      <c r="G5" s="263">
        <f>'ACT 11'!P9</f>
        <v>2215.6950000000002</v>
      </c>
      <c r="H5" s="5">
        <f>G5*0.976</f>
        <v>2162.5183200000001</v>
      </c>
      <c r="I5" s="5">
        <f>(130*H5)/'ACT 11'!$C$34</f>
        <v>110.24603200000001</v>
      </c>
      <c r="J5" s="5">
        <f>I5*0.685</f>
        <v>75.518531920000015</v>
      </c>
      <c r="K5" s="5">
        <f>(A5*88)/(H5*6.35)</f>
        <v>0.44858752464001339</v>
      </c>
      <c r="L5" s="283">
        <f>(K5/'ACT 11'!$C$37)*100</f>
        <v>61.959602850830585</v>
      </c>
      <c r="M5" s="5">
        <v>73.91</v>
      </c>
      <c r="N5" s="5">
        <f>M5*0.78</f>
        <v>57.649799999999999</v>
      </c>
      <c r="O5" s="5">
        <f>(J5*N5)/100</f>
        <v>43.536282614816166</v>
      </c>
      <c r="P5" s="5">
        <f>G5*0.96</f>
        <v>2127.0672</v>
      </c>
      <c r="Q5" s="5">
        <f>(130*P5)/2800</f>
        <v>98.756691428571415</v>
      </c>
      <c r="R5" s="5">
        <f>Q5*0.642</f>
        <v>63.401795897142847</v>
      </c>
      <c r="S5" s="5">
        <f>(A5*88)/(P5*6.35)</f>
        <v>0.45606398338401366</v>
      </c>
      <c r="T5" s="283">
        <f>(S5/'ACT 11'!$C$37)*100</f>
        <v>62.992262898344428</v>
      </c>
      <c r="U5" s="5">
        <v>74.61</v>
      </c>
      <c r="V5" s="5">
        <f>U5*0.78</f>
        <v>58.195799999999998</v>
      </c>
      <c r="W5" s="5">
        <f>(R5*V5)/100</f>
        <v>36.897182336709456</v>
      </c>
      <c r="AA5" s="280">
        <v>103.99</v>
      </c>
      <c r="AB5" s="280">
        <v>53.21</v>
      </c>
      <c r="AC5" s="280">
        <f>D7</f>
        <v>45.901675565882861</v>
      </c>
      <c r="AD5" s="5">
        <f>AB5-AC5</f>
        <v>7.3083244341171394</v>
      </c>
      <c r="AE5" s="5">
        <f>(AD5/1565.5)*33000</f>
        <v>154.0560244815494</v>
      </c>
      <c r="AH5" s="4">
        <v>3000</v>
      </c>
      <c r="AI5" s="282">
        <f>615.23-((AH5)*(615.23)/11386.4)</f>
        <v>453.13399072577818</v>
      </c>
      <c r="AJ5" s="282">
        <f>(11386.4/615.23)*(LN(11386.4/(11386.4-AH5)))</f>
        <v>5.6597626799196954</v>
      </c>
    </row>
    <row r="6" spans="1:36" ht="15" customHeight="1">
      <c r="A6" s="365">
        <v>80</v>
      </c>
      <c r="B6" s="263">
        <f>'ACT 10'!J9</f>
        <v>34.502899666966258</v>
      </c>
      <c r="C6" s="5">
        <f>A6/SQRT(0.749)</f>
        <v>92.437688751589022</v>
      </c>
      <c r="D6" s="5">
        <f>B6/SQRT(0.749)</f>
        <v>39.867103755529143</v>
      </c>
      <c r="E6" s="5">
        <f>A6/SQRT(0.707)</f>
        <v>95.14375336725503</v>
      </c>
      <c r="F6" s="5">
        <f>B6/SQRT(0.707)</f>
        <v>41.034192204612289</v>
      </c>
      <c r="G6" s="263">
        <f>'ACT 11'!P10</f>
        <v>2226.15</v>
      </c>
      <c r="H6" s="5">
        <f>G6*0.976</f>
        <v>2172.7224000000001</v>
      </c>
      <c r="I6" s="5">
        <f>(130*H6)/'ACT 11'!$C$34</f>
        <v>110.76624000000001</v>
      </c>
      <c r="J6" s="5">
        <f>I6*0.685</f>
        <v>75.87487440000001</v>
      </c>
      <c r="K6" s="5">
        <f>(A6*88)/(H6*6.35)</f>
        <v>0.51026372136764209</v>
      </c>
      <c r="L6" s="283">
        <f>(K6/'ACT 11'!$C$37)*100</f>
        <v>70.478414553541725</v>
      </c>
      <c r="M6" s="5">
        <v>81.73</v>
      </c>
      <c r="N6" s="5">
        <f>M6*0.78</f>
        <v>63.749400000000009</v>
      </c>
      <c r="O6" s="5">
        <f>(J6*N6)/100</f>
        <v>48.369777180753616</v>
      </c>
      <c r="P6" s="5">
        <f>G6*0.96</f>
        <v>2137.1039999999998</v>
      </c>
      <c r="Q6" s="5">
        <f>(130*P6)/2800</f>
        <v>99.222685714285703</v>
      </c>
      <c r="R6" s="5">
        <f>Q6*0.642</f>
        <v>63.700964228571422</v>
      </c>
      <c r="S6" s="5">
        <f>(A6*88)/(P6*6.35)</f>
        <v>0.51876811672376955</v>
      </c>
      <c r="T6" s="283">
        <f>(S6/'ACT 11'!$C$37)*100</f>
        <v>71.653054796100761</v>
      </c>
      <c r="U6" s="5">
        <v>82.72</v>
      </c>
      <c r="V6" s="5">
        <f>U6*0.78</f>
        <v>64.521600000000007</v>
      </c>
      <c r="W6" s="5">
        <f>(R6*V6)/100</f>
        <v>41.100881335701942</v>
      </c>
      <c r="AA6" s="286">
        <v>115.547110939486</v>
      </c>
      <c r="AB6" s="286">
        <v>57.983792300491203</v>
      </c>
      <c r="AC6" s="286">
        <v>54.450615592155501</v>
      </c>
      <c r="AD6" s="5">
        <f>AB6-AC6</f>
        <v>3.5331767083357022</v>
      </c>
      <c r="AE6" s="5">
        <f>(AD6/1565.5)*33000</f>
        <v>74.47769490583083</v>
      </c>
      <c r="AH6" s="4">
        <v>4000</v>
      </c>
      <c r="AI6" s="282">
        <f>615.23-((AH6)*(615.23)/11386.4)</f>
        <v>399.10198763437086</v>
      </c>
      <c r="AJ6" s="282">
        <f>(11386.4/615.23)*(LN(11386.4/(11386.4-AH6)))</f>
        <v>8.0096824943886293</v>
      </c>
    </row>
    <row r="7" spans="1:36" ht="15" customHeight="1">
      <c r="A7" s="365">
        <v>90</v>
      </c>
      <c r="B7" s="263">
        <f>'ACT 10'!J10</f>
        <v>39.725506931906104</v>
      </c>
      <c r="C7" s="5">
        <f>A7/SQRT(0.749)</f>
        <v>103.99239984553765</v>
      </c>
      <c r="D7" s="5">
        <f>B7/SQRT(0.749)</f>
        <v>45.901675565882861</v>
      </c>
      <c r="E7" s="5">
        <f>A7/SQRT(0.707)</f>
        <v>107.03672253816191</v>
      </c>
      <c r="F7" s="5">
        <f>B7/SQRT(0.707)</f>
        <v>47.245422923980676</v>
      </c>
      <c r="G7" s="263">
        <f>'ACT 11'!P11</f>
        <v>2246.5499999999997</v>
      </c>
      <c r="H7" s="5">
        <f>G7*0.976</f>
        <v>2192.6327999999999</v>
      </c>
      <c r="I7" s="5">
        <f>(130*H7)/'ACT 11'!$C$34</f>
        <v>111.78127999999998</v>
      </c>
      <c r="J7" s="5">
        <f>I7*0.685</f>
        <v>76.570176799999999</v>
      </c>
      <c r="K7" s="5">
        <f>(A7*88)/(H7*6.35)</f>
        <v>0.56883400380044902</v>
      </c>
      <c r="L7" s="283">
        <f>(K7/'ACT 11'!$C$37)*100</f>
        <v>78.568232569122799</v>
      </c>
      <c r="M7" s="5">
        <v>89.09</v>
      </c>
      <c r="N7" s="5">
        <f>M7*0.78</f>
        <v>69.490200000000002</v>
      </c>
      <c r="O7" s="5">
        <f>(J7*N7)/100</f>
        <v>53.208768998673605</v>
      </c>
      <c r="P7" s="5">
        <f>G7*0.96</f>
        <v>2156.6879999999996</v>
      </c>
      <c r="Q7" s="5">
        <f>(130*P7)/2800</f>
        <v>100.13194285714283</v>
      </c>
      <c r="R7" s="5">
        <f>Q7*0.642</f>
        <v>64.284707314285697</v>
      </c>
      <c r="S7" s="5">
        <f>(A7*88)/(P7*6.35)</f>
        <v>0.57831457053045654</v>
      </c>
      <c r="T7" s="283">
        <f>(S7/'ACT 11'!$C$37)*100</f>
        <v>79.877703111941514</v>
      </c>
      <c r="U7" s="5">
        <v>90.43</v>
      </c>
      <c r="V7" s="5">
        <f>U7*0.78</f>
        <v>70.53540000000001</v>
      </c>
      <c r="W7" s="5">
        <f>(R7*V7)/100</f>
        <v>45.343475442960681</v>
      </c>
      <c r="Z7" s="1" t="s">
        <v>563</v>
      </c>
      <c r="AA7" s="287">
        <v>122.79</v>
      </c>
      <c r="AB7" s="288">
        <f>(((AA7-AA6)*(AB8-AB6))/(AA8-AA6))+AB6</f>
        <v>60.475261709850407</v>
      </c>
      <c r="AC7" s="288">
        <v>60.48</v>
      </c>
      <c r="AD7" s="289">
        <f>AB7-AC7</f>
        <v>-4.7382901495893748E-3</v>
      </c>
      <c r="AE7" s="289">
        <v>0</v>
      </c>
      <c r="AH7" s="4">
        <v>5000</v>
      </c>
      <c r="AI7" s="282">
        <f>615.23-((AH7)*(615.23)/11386.4)</f>
        <v>345.06998454296354</v>
      </c>
      <c r="AJ7" s="282">
        <f>(11386.4/615.23)*(LN(11386.4/(11386.4-AH7)))</f>
        <v>10.70197102348007</v>
      </c>
    </row>
    <row r="8" spans="1:36" ht="15" customHeight="1">
      <c r="A8" s="365">
        <v>100</v>
      </c>
      <c r="B8" s="263">
        <f>'ACT 10'!J11</f>
        <v>47.124168790920358</v>
      </c>
      <c r="C8" s="5">
        <f>A8/SQRT(0.749)</f>
        <v>115.54711093948627</v>
      </c>
      <c r="D8" s="5">
        <f>B8/SQRT(0.749)</f>
        <v>54.450615592155515</v>
      </c>
      <c r="E8" s="5">
        <f>A8/SQRT(0.707)</f>
        <v>118.92969170906879</v>
      </c>
      <c r="F8" s="5">
        <f>B8/SQRT(0.707)</f>
        <v>56.044628663502792</v>
      </c>
      <c r="G8" s="263">
        <f>'ACT 11'!P12</f>
        <v>2297.5499999999997</v>
      </c>
      <c r="H8" s="5">
        <f>G8*0.976</f>
        <v>2242.4087999999997</v>
      </c>
      <c r="I8" s="5">
        <f>(130*H8)/'ACT 11'!$C$34</f>
        <v>114.31887999999999</v>
      </c>
      <c r="J8" s="5">
        <f>I8*0.685</f>
        <v>78.308432800000006</v>
      </c>
      <c r="K8" s="5">
        <f>(A8*88)/(H8*6.35)</f>
        <v>0.61800808650659211</v>
      </c>
      <c r="L8" s="283">
        <f>(K8/'ACT 11'!$C$37)*100</f>
        <v>85.360232942899458</v>
      </c>
      <c r="M8" s="5">
        <v>94.93</v>
      </c>
      <c r="N8" s="5">
        <f>M8*0.78</f>
        <v>74.045400000000001</v>
      </c>
      <c r="O8" s="5">
        <f>(J8*N8)/100</f>
        <v>57.983792300491203</v>
      </c>
      <c r="P8" s="5">
        <f>G8*0.96</f>
        <v>2205.6479999999997</v>
      </c>
      <c r="Q8" s="5">
        <f>(130*P8)/2800</f>
        <v>102.40508571428569</v>
      </c>
      <c r="R8" s="5">
        <f>Q8*0.642</f>
        <v>65.744065028571413</v>
      </c>
      <c r="S8" s="5">
        <f>(A8*88)/(P8*6.35)</f>
        <v>0.62830822128170205</v>
      </c>
      <c r="T8" s="283">
        <f>(S8/'ACT 11'!$C$37)*100</f>
        <v>86.782903491947806</v>
      </c>
      <c r="U8" s="5">
        <v>95.06</v>
      </c>
      <c r="V8" s="5">
        <f>U8*0.78</f>
        <v>74.146799999999999</v>
      </c>
      <c r="W8" s="5">
        <f>(R8*V8)/100</f>
        <v>48.747120408604786</v>
      </c>
      <c r="AA8" s="290">
        <v>127.101822033435</v>
      </c>
      <c r="AB8" s="291">
        <f>(W8*AA8)/100</f>
        <v>61.958478228169128</v>
      </c>
      <c r="AC8" s="290">
        <v>65.620097098385003</v>
      </c>
      <c r="AH8" s="4">
        <v>6000</v>
      </c>
      <c r="AI8" s="282">
        <f>615.23-((AH8)*(615.23)/11386.4)</f>
        <v>291.03798145155628</v>
      </c>
      <c r="AJ8" s="282">
        <f>(11386.4/615.23)*(LN(11386.4/(11386.4-AH8)))</f>
        <v>13.853685958283215</v>
      </c>
    </row>
    <row r="9" spans="1:36" ht="15" customHeight="1">
      <c r="A9" s="365">
        <v>110</v>
      </c>
      <c r="B9" s="263">
        <f>'ACT 10'!J12</f>
        <v>56.790772668259258</v>
      </c>
      <c r="C9" s="5">
        <f>A9/SQRT(0.749)</f>
        <v>127.10182203343491</v>
      </c>
      <c r="D9" s="5">
        <f>B9/SQRT(0.749)</f>
        <v>65.620097098384974</v>
      </c>
      <c r="E9" s="5">
        <f>A9/SQRT(0.707)</f>
        <v>130.82266087997567</v>
      </c>
      <c r="F9" s="5">
        <f>B9/SQRT(0.707)</f>
        <v>67.541090853558828</v>
      </c>
      <c r="G9" s="263">
        <f>'ACT 11'!P13</f>
        <v>2374.56</v>
      </c>
      <c r="H9" s="5">
        <f>G9*0.976</f>
        <v>2317.5705600000001</v>
      </c>
      <c r="I9" s="5">
        <f>(130*H9)/'ACT 11'!$C$34</f>
        <v>118.150656</v>
      </c>
      <c r="J9" s="5">
        <f>I9*0.685</f>
        <v>80.933199360000003</v>
      </c>
      <c r="K9" s="5">
        <f>(A9*88)/(H9*6.35)</f>
        <v>0.65776182832547614</v>
      </c>
      <c r="L9" s="283">
        <f>(K9/'ACT 11'!$C$37)*100</f>
        <v>90.851081260424877</v>
      </c>
      <c r="M9" s="5">
        <v>97.43</v>
      </c>
      <c r="N9" s="5">
        <f>M9*0.78</f>
        <v>75.995400000000004</v>
      </c>
      <c r="O9" s="5">
        <f>(J9*N9)/100</f>
        <v>61.505508586429443</v>
      </c>
      <c r="P9" s="5">
        <f>G9*0.96</f>
        <v>2279.5776000000001</v>
      </c>
      <c r="Q9" s="5">
        <f>(130*P9)/2800</f>
        <v>105.83753142857142</v>
      </c>
      <c r="R9" s="5">
        <f>Q9*0.642</f>
        <v>67.947695177142862</v>
      </c>
      <c r="S9" s="5">
        <f>(A9*88)/(P9*6.35)</f>
        <v>0.66872452546423411</v>
      </c>
      <c r="T9" s="283">
        <f>(S9/'ACT 11'!$C$37)*100</f>
        <v>92.365265948098639</v>
      </c>
      <c r="U9" s="5">
        <v>97.89</v>
      </c>
      <c r="V9" s="5">
        <f>U9*0.78</f>
        <v>76.354200000000006</v>
      </c>
      <c r="W9" s="5">
        <f>(R9*V9)/100</f>
        <v>51.880919070946021</v>
      </c>
      <c r="AH9" s="4">
        <v>7000</v>
      </c>
      <c r="AI9" s="282">
        <f>615.23-((AH9)*(615.23)/11386.4)</f>
        <v>237.00597836014896</v>
      </c>
      <c r="AJ9" s="282">
        <f>(11386.4/615.23)*(LN(11386.4/(11386.4-AH9)))</f>
        <v>17.654552137421632</v>
      </c>
    </row>
    <row r="10" spans="1:36" ht="15.75" customHeight="1">
      <c r="A10" s="365">
        <v>120</v>
      </c>
      <c r="B10" s="263">
        <f>'ACT 10'!J13</f>
        <v>68.852707771747262</v>
      </c>
      <c r="C10" s="5">
        <f>A10/SQRT(0.749)</f>
        <v>138.65653312738354</v>
      </c>
      <c r="D10" s="5">
        <f>B10/SQRT(0.749)</f>
        <v>79.557314633861097</v>
      </c>
      <c r="E10" s="5">
        <f>A10/SQRT(0.707)</f>
        <v>142.71563005088254</v>
      </c>
      <c r="F10" s="5">
        <f>B10/SQRT(0.707)</f>
        <v>81.886313086285057</v>
      </c>
      <c r="G10" s="263">
        <f>'ACT 11'!P14</f>
        <v>2420.9700000000003</v>
      </c>
      <c r="H10" s="5">
        <f>G10*0.976</f>
        <v>2362.86672</v>
      </c>
      <c r="I10" s="5">
        <f>(130*H10)/'ACT 11'!$C$34</f>
        <v>120.45987199999999</v>
      </c>
      <c r="J10" s="5">
        <f>I10*0.685</f>
        <v>82.515012319999997</v>
      </c>
      <c r="K10" s="5">
        <f>(A10*88)/(H10*6.35)</f>
        <v>0.70380276293546173</v>
      </c>
      <c r="L10" s="283">
        <f>(K10/'ACT 11'!$C$37)*100</f>
        <v>97.210326372301353</v>
      </c>
      <c r="M10" s="5">
        <v>99.89</v>
      </c>
      <c r="N10" s="5">
        <f>M10*0.78</f>
        <v>77.914200000000008</v>
      </c>
      <c r="O10" s="5">
        <f>(J10*N10)/100</f>
        <v>64.290911729029446</v>
      </c>
      <c r="P10" s="5">
        <f>G10*0.96</f>
        <v>2324.1312000000003</v>
      </c>
      <c r="Q10" s="5">
        <f>(130*P10)/2800</f>
        <v>107.90609142857144</v>
      </c>
      <c r="R10" s="5">
        <f>Q10*0.642</f>
        <v>69.27571069714287</v>
      </c>
      <c r="S10" s="5">
        <f>(A10*88)/(P10*6.35)</f>
        <v>0.71553280898438598</v>
      </c>
      <c r="T10" s="283">
        <f>(S10/'ACT 11'!$C$37)*100</f>
        <v>98.830498478506357</v>
      </c>
      <c r="U10" s="5">
        <v>99.64</v>
      </c>
      <c r="V10" s="5">
        <f>U10*0.78</f>
        <v>77.719200000000001</v>
      </c>
      <c r="W10" s="5">
        <f>(R10*V10)/100</f>
        <v>53.840528148133863</v>
      </c>
      <c r="AA10" s="312"/>
      <c r="AB10" s="356"/>
      <c r="AC10" s="312"/>
      <c r="AH10" s="4">
        <v>8000</v>
      </c>
      <c r="AI10" s="282">
        <f>615.23-((AH10)*(615.23)/11386.4)</f>
        <v>182.97397526874164</v>
      </c>
      <c r="AJ10" s="282">
        <f>(11386.4/615.23)*(LN(11386.4/(11386.4-AH10)))</f>
        <v>22.443222186270376</v>
      </c>
    </row>
    <row r="11" spans="1:36" ht="15" customHeight="1">
      <c r="A11" s="365">
        <v>130</v>
      </c>
      <c r="B11" s="263">
        <f>'ACT 10'!J14</f>
        <v>83.459210560639207</v>
      </c>
      <c r="C11" s="5">
        <f>A11/SQRT(0.749)</f>
        <v>150.21124422133215</v>
      </c>
      <c r="D11" s="5">
        <f>B11/SQRT(0.749)</f>
        <v>96.43470661572124</v>
      </c>
      <c r="E11" s="5">
        <f>A11/SQRT(0.707)</f>
        <v>154.60859922178943</v>
      </c>
      <c r="F11" s="5">
        <f>B11/SQRT(0.707)</f>
        <v>99.257781822590786</v>
      </c>
      <c r="G11" s="263">
        <f>'ACT 11'!P15</f>
        <v>2481.4050000000002</v>
      </c>
      <c r="H11" s="5">
        <f>G11*0.976</f>
        <v>2421.8512800000003</v>
      </c>
      <c r="I11" s="5">
        <f>(130*H11)/'ACT 11'!$C$34</f>
        <v>123.46692800000002</v>
      </c>
      <c r="J11" s="5">
        <f>I11*0.685</f>
        <v>84.574845680000024</v>
      </c>
      <c r="K11" s="5">
        <f>(A11*88)/(H11*6.35)</f>
        <v>0.74388333339345525</v>
      </c>
      <c r="L11" s="283">
        <f>(K11/'ACT 11'!$C$37)*100</f>
        <v>102.74631676705184</v>
      </c>
      <c r="M11" s="5">
        <v>99.21</v>
      </c>
      <c r="N11" s="5">
        <f>M11*0.78</f>
        <v>77.383799999999994</v>
      </c>
      <c r="O11" s="5">
        <f>(J11*N11)/100</f>
        <v>65.447229431319855</v>
      </c>
      <c r="P11" s="5">
        <f>G11*0.96</f>
        <v>2382.1487999999999</v>
      </c>
      <c r="Q11" s="5">
        <f>(130*P11)/2800</f>
        <v>110.59976571428571</v>
      </c>
      <c r="R11" s="5">
        <f>Q11*0.642</f>
        <v>71.005049588571424</v>
      </c>
      <c r="S11" s="5">
        <f>(A11*88)/(P11*6.35)</f>
        <v>0.75628138895001296</v>
      </c>
      <c r="T11" s="283">
        <f>(S11/'ACT 11'!$C$37)*100</f>
        <v>104.45875537983605</v>
      </c>
      <c r="U11" s="5">
        <v>99.02</v>
      </c>
      <c r="V11" s="5">
        <f>U11*0.78</f>
        <v>77.235600000000005</v>
      </c>
      <c r="W11" s="5">
        <f>(R11*V11)/100</f>
        <v>54.841176080030671</v>
      </c>
      <c r="AC11" s="519" t="s">
        <v>556</v>
      </c>
      <c r="AD11" s="519"/>
      <c r="AE11" s="519"/>
      <c r="AH11" s="4">
        <v>9000</v>
      </c>
      <c r="AI11" s="282">
        <f>615.23-((AH11)*(615.23)/11386.4)</f>
        <v>128.94197217733438</v>
      </c>
      <c r="AJ11" s="282">
        <f>(11386.4/615.23)*(LN(11386.4/(11386.4-AH11)))</f>
        <v>28.920521490057112</v>
      </c>
    </row>
    <row r="12" spans="1:36" ht="15" customHeight="1">
      <c r="A12" s="365">
        <v>140</v>
      </c>
      <c r="B12" s="263">
        <f>'ACT 10'!J15</f>
        <v>100.77356215582365</v>
      </c>
      <c r="C12" s="5">
        <f>A12/SQRT(0.749)</f>
        <v>161.76595531528079</v>
      </c>
      <c r="D12" s="5">
        <f>B12/SQRT(0.749)</f>
        <v>116.44093966186172</v>
      </c>
      <c r="E12" s="5">
        <f>A12/SQRT(0.707)</f>
        <v>166.5015683926963</v>
      </c>
      <c r="F12" s="5">
        <f>B12/SQRT(0.707)</f>
        <v>119.84968679616789</v>
      </c>
      <c r="G12" s="263">
        <f>'ACT 11'!P16</f>
        <v>2555.355</v>
      </c>
      <c r="H12" s="5">
        <f>G12*0.976</f>
        <v>2494.02648</v>
      </c>
      <c r="I12" s="5">
        <f>(130*H12)/'ACT 11'!$C$34</f>
        <v>127.14644800000001</v>
      </c>
      <c r="J12" s="5">
        <f>I12*0.685</f>
        <v>87.095316880000013</v>
      </c>
      <c r="K12" s="5">
        <f>(A12*88)/(H12*6.35)</f>
        <v>0.77792176461372653</v>
      </c>
      <c r="L12" s="283">
        <f>(K12/'ACT 11'!$C$37)*100</f>
        <v>107.4477575433324</v>
      </c>
      <c r="M12" s="5">
        <v>97.7</v>
      </c>
      <c r="N12" s="5">
        <f>M12*0.78</f>
        <v>76.206000000000003</v>
      </c>
      <c r="O12" s="5">
        <f>(J12*N12)/100</f>
        <v>66.371857181572807</v>
      </c>
      <c r="P12" s="5">
        <f>G12*0.96</f>
        <v>2453.1408000000001</v>
      </c>
      <c r="Q12" s="5">
        <f>(130*P12)/2800</f>
        <v>113.89582285714286</v>
      </c>
      <c r="R12" s="5">
        <f>Q12*0.642</f>
        <v>73.12111827428572</v>
      </c>
      <c r="S12" s="5">
        <f>(A12*88)/(P12*6.35)</f>
        <v>0.7908871273572885</v>
      </c>
      <c r="T12" s="283">
        <f>(S12/'ACT 11'!$C$37)*100</f>
        <v>109.23855350238792</v>
      </c>
      <c r="U12" s="5">
        <v>96.81</v>
      </c>
      <c r="V12" s="5">
        <f>U12*0.78</f>
        <v>75.511800000000008</v>
      </c>
      <c r="W12" s="5">
        <f>(R12*V12)/100</f>
        <v>55.215072589042094</v>
      </c>
      <c r="AC12" s="294" t="s">
        <v>564</v>
      </c>
      <c r="AD12" s="4">
        <v>10000</v>
      </c>
      <c r="AE12" s="4" t="s">
        <v>401</v>
      </c>
      <c r="AH12" s="292">
        <v>9535.65</v>
      </c>
      <c r="AI12" s="282">
        <f>615.23-((AH12)*(615.23)/11386.4)</f>
        <v>99.999729721422</v>
      </c>
      <c r="AJ12" s="282">
        <f>(11386.4/615.23)*(LN(11386.4/(11386.4-AH12)))</f>
        <v>33.625048017554207</v>
      </c>
    </row>
    <row r="13" spans="1:36" ht="15" customHeight="1">
      <c r="A13" s="365">
        <v>150</v>
      </c>
      <c r="B13" s="263">
        <f>'ACT 10'!J16</f>
        <v>120.96840678594509</v>
      </c>
      <c r="C13" s="5">
        <f>A13/SQRT(0.749)</f>
        <v>173.32066640922943</v>
      </c>
      <c r="D13" s="5">
        <f>B13/SQRT(0.749)</f>
        <v>139.77549919068503</v>
      </c>
      <c r="E13" s="5">
        <f>A13/SQRT(0.707)</f>
        <v>178.39453756360317</v>
      </c>
      <c r="F13" s="5">
        <f>B13/SQRT(0.707)</f>
        <v>143.86735325589675</v>
      </c>
      <c r="G13" s="263">
        <f>'ACT 11'!P17</f>
        <v>2648.6849999999999</v>
      </c>
      <c r="H13" s="5">
        <f>G13*0.976</f>
        <v>2585.1165599999999</v>
      </c>
      <c r="I13" s="5">
        <f>(130*H13)/'ACT 11'!$C$34</f>
        <v>131.790256</v>
      </c>
      <c r="J13" s="5">
        <f>I13*0.685</f>
        <v>90.276325360000001</v>
      </c>
      <c r="K13" s="5">
        <f>(A13*88)/(H13*6.35)</f>
        <v>0.80411854136291439</v>
      </c>
      <c r="L13" s="283">
        <f>(K13/'ACT 11'!$C$37)*100</f>
        <v>111.06609687333071</v>
      </c>
      <c r="M13" s="5">
        <v>94.73</v>
      </c>
      <c r="N13" s="5">
        <f>M13*0.78</f>
        <v>73.889400000000009</v>
      </c>
      <c r="O13" s="5">
        <f>(J13*N13)/100</f>
        <v>66.704635150551852</v>
      </c>
      <c r="P13" s="5">
        <f>G13*0.96</f>
        <v>2542.7375999999999</v>
      </c>
      <c r="Q13" s="5">
        <f>(130*P13)/2800</f>
        <v>118.05567428571428</v>
      </c>
      <c r="R13" s="5">
        <f>Q13*0.642</f>
        <v>75.791742891428569</v>
      </c>
      <c r="S13" s="5">
        <f>(A13*88)/(P13*6.35)</f>
        <v>0.81752051705229634</v>
      </c>
      <c r="T13" s="283">
        <f>(S13/'ACT 11'!$C$37)*100</f>
        <v>112.91719848788624</v>
      </c>
      <c r="U13" s="5">
        <v>93.94</v>
      </c>
      <c r="V13" s="5">
        <f>U13*0.78</f>
        <v>73.273200000000003</v>
      </c>
      <c r="W13" s="5">
        <f>(R13*V13)/100</f>
        <v>55.53503535232224</v>
      </c>
      <c r="AC13" s="294" t="s">
        <v>565</v>
      </c>
      <c r="AD13" s="4">
        <f>'ACT 12'!K17</f>
        <v>139.63999999999999</v>
      </c>
      <c r="AE13" s="4" t="s">
        <v>135</v>
      </c>
      <c r="AH13" s="4">
        <v>10000</v>
      </c>
      <c r="AI13" s="282">
        <f>615.23-((AH13)*(615.23)/11386.4)</f>
        <v>74.909969085927059</v>
      </c>
      <c r="AJ13" s="282">
        <f>(11386.4/615.23)*(LN(11386.4/(11386.4-AH13)))</f>
        <v>38.971518375743692</v>
      </c>
    </row>
    <row r="14" spans="1:36" ht="15" customHeight="1">
      <c r="A14" s="365">
        <v>160</v>
      </c>
      <c r="B14" s="263">
        <f>'ACT 10'!J17</f>
        <v>144.22282581623011</v>
      </c>
      <c r="C14" s="5">
        <f>A14/SQRT(0.749)</f>
        <v>184.87537750317804</v>
      </c>
      <c r="D14" s="5">
        <f>B14/SQRT(0.749)</f>
        <v>166.64530854594148</v>
      </c>
      <c r="E14" s="5">
        <f>A14/SQRT(0.707)</f>
        <v>190.28750673451006</v>
      </c>
      <c r="F14" s="5">
        <f>B14/SQRT(0.707)</f>
        <v>171.52376211734975</v>
      </c>
      <c r="G14" s="263">
        <f>'ACT 11'!P18</f>
        <v>2724.165</v>
      </c>
      <c r="H14" s="5">
        <f>G14*0.976</f>
        <v>2658.7850399999998</v>
      </c>
      <c r="I14" s="5">
        <f>(130*H14)/'ACT 11'!$C$34</f>
        <v>135.54590399999998</v>
      </c>
      <c r="J14" s="5">
        <f>I14*0.685</f>
        <v>92.848944239999994</v>
      </c>
      <c r="K14" s="5">
        <f>(A14*88)/(H14*6.35)</f>
        <v>0.83396092624534612</v>
      </c>
      <c r="L14" s="283">
        <f>(K14/'ACT 11'!$C$37)*100</f>
        <v>115.18797323830748</v>
      </c>
      <c r="M14" s="5">
        <v>91.32</v>
      </c>
      <c r="N14" s="5">
        <f>M14*0.78</f>
        <v>71.229599999999991</v>
      </c>
      <c r="O14" s="5">
        <f>(J14*N14)/100</f>
        <v>66.135931586375023</v>
      </c>
      <c r="P14" s="5">
        <f>G14*0.96</f>
        <v>2615.1983999999998</v>
      </c>
      <c r="Q14" s="5">
        <f>(130*P14)/2800</f>
        <v>121.4199257142857</v>
      </c>
      <c r="R14" s="5">
        <f>Q14*0.642</f>
        <v>77.951592308571421</v>
      </c>
      <c r="S14" s="5">
        <f>(A14*88)/(P14*6.35)</f>
        <v>0.84786027501610184</v>
      </c>
      <c r="T14" s="283">
        <f>(S14/'ACT 11'!$C$37)*100</f>
        <v>117.10777279227926</v>
      </c>
      <c r="U14" s="5">
        <v>89.92</v>
      </c>
      <c r="V14" s="5">
        <f>U14*0.78</f>
        <v>70.137600000000006</v>
      </c>
      <c r="W14" s="5">
        <f>(R14*V14)/100</f>
        <v>54.673376007016593</v>
      </c>
      <c r="AC14" s="294" t="s">
        <v>566</v>
      </c>
      <c r="AD14" s="4">
        <f>'ACT 12'!W13</f>
        <v>112.56</v>
      </c>
      <c r="AE14" s="4" t="s">
        <v>135</v>
      </c>
      <c r="AH14" s="4">
        <v>11000</v>
      </c>
      <c r="AI14" s="282">
        <f>615.23-((AH14)*(615.23)/11386.4)</f>
        <v>20.877965994519741</v>
      </c>
      <c r="AJ14" s="282">
        <f>(11386.4/615.23)*(LN(11386.4/(11386.4-AH14)))</f>
        <v>62.616627995346327</v>
      </c>
    </row>
    <row r="15" spans="1:36" ht="15" customHeight="1">
      <c r="Z15" s="312"/>
      <c r="AC15"/>
      <c r="AD15" s="1"/>
      <c r="AE15" s="1"/>
      <c r="AH15" s="292">
        <v>11386.4</v>
      </c>
      <c r="AI15" s="282">
        <f>615.23-((AH15)*(615.23)/11386.4)</f>
        <v>0</v>
      </c>
      <c r="AJ15" s="293" t="str">
        <f>IFERROR((11386.4/615.23)*(LN(11386.4/(11386.4-AH15))),"∞ (absolute ceiling)")</f>
        <v>∞ (absolute ceiling)</v>
      </c>
    </row>
    <row r="16" spans="1:36" ht="15" customHeight="1">
      <c r="AC16" s="1" t="s">
        <v>567</v>
      </c>
      <c r="AD16" s="1">
        <f>(AD12*AD13)/(AD13-AD14)</f>
        <v>51565.731166912876</v>
      </c>
      <c r="AE16" s="1"/>
      <c r="AH16" s="5"/>
      <c r="AI16" s="5"/>
      <c r="AJ16" s="5"/>
    </row>
    <row r="18" ht="15" customHeight="1"/>
    <row r="19" ht="15" customHeight="1"/>
    <row r="20" ht="15" customHeight="1"/>
    <row r="21" ht="15" customHeight="1"/>
    <row r="23" ht="15" customHeight="1"/>
    <row r="43" spans="31:32" ht="15" customHeight="1">
      <c r="AE43" s="1">
        <v>0</v>
      </c>
      <c r="AF43" s="1">
        <v>0</v>
      </c>
    </row>
    <row r="44" spans="31:32" ht="15" customHeight="1">
      <c r="AE44" s="1">
        <v>1000</v>
      </c>
      <c r="AF44" s="1">
        <v>50</v>
      </c>
    </row>
    <row r="45" spans="31:32" ht="15" customHeight="1">
      <c r="AE45" s="1">
        <f>AE44+1000</f>
        <v>2000</v>
      </c>
      <c r="AF45" s="1">
        <f>AF44+50</f>
        <v>100</v>
      </c>
    </row>
    <row r="46" spans="31:32" ht="15" customHeight="1">
      <c r="AE46" s="1">
        <f>AE45+1000</f>
        <v>3000</v>
      </c>
      <c r="AF46" s="1">
        <f>AF45+50</f>
        <v>150</v>
      </c>
    </row>
    <row r="47" spans="31:32" ht="15" customHeight="1">
      <c r="AE47" s="1">
        <f>AE46+1000</f>
        <v>4000</v>
      </c>
      <c r="AF47" s="1">
        <f>AF46+50</f>
        <v>200</v>
      </c>
    </row>
    <row r="48" spans="31:32" ht="15" customHeight="1">
      <c r="AE48" s="1">
        <f>AE47+1000</f>
        <v>5000</v>
      </c>
      <c r="AF48" s="1">
        <f>AF47+50</f>
        <v>250</v>
      </c>
    </row>
    <row r="49" spans="18:32" ht="15" customHeight="1">
      <c r="AE49" s="1">
        <f>AE48+1000</f>
        <v>6000</v>
      </c>
      <c r="AF49" s="1">
        <f>AF48+50</f>
        <v>300</v>
      </c>
    </row>
    <row r="50" spans="18:32" ht="15" customHeight="1">
      <c r="AE50" s="1">
        <f>AE49+1000</f>
        <v>7000</v>
      </c>
      <c r="AF50" s="1">
        <f>AF49+50</f>
        <v>350</v>
      </c>
    </row>
    <row r="51" spans="18:32" ht="15" customHeight="1">
      <c r="AE51" s="1">
        <f>AE50+1000</f>
        <v>8000</v>
      </c>
      <c r="AF51" s="1">
        <f>AF50+50</f>
        <v>400</v>
      </c>
    </row>
    <row r="52" spans="18:32" ht="15" customHeight="1">
      <c r="AE52" s="1">
        <f>AE51+1000</f>
        <v>9000</v>
      </c>
      <c r="AF52" s="1">
        <f>AF51+50</f>
        <v>450</v>
      </c>
    </row>
    <row r="53" spans="18:32" ht="15" customHeight="1">
      <c r="AE53" s="1">
        <f>AE52+1000</f>
        <v>10000</v>
      </c>
      <c r="AF53" s="1">
        <f>AF52+50</f>
        <v>500</v>
      </c>
    </row>
    <row r="54" spans="18:32" ht="15" customHeight="1">
      <c r="AE54" s="1">
        <f>AE53+1000</f>
        <v>11000</v>
      </c>
      <c r="AF54" s="1">
        <f>AF53+50</f>
        <v>550</v>
      </c>
    </row>
    <row r="55" spans="18:32" ht="15" customHeight="1">
      <c r="AE55" s="1">
        <f>AE54+1000</f>
        <v>12000</v>
      </c>
      <c r="AF55" s="1">
        <f>AF54+50</f>
        <v>600</v>
      </c>
    </row>
    <row r="56" spans="18:32" ht="15" customHeight="1">
      <c r="AE56" s="1">
        <f>AE55+1000</f>
        <v>13000</v>
      </c>
      <c r="AF56" s="1">
        <f>AF55+50</f>
        <v>650</v>
      </c>
    </row>
    <row r="57" spans="18:32" ht="15" customHeight="1">
      <c r="AE57" s="1">
        <f>AE56+1000</f>
        <v>14000</v>
      </c>
      <c r="AF57" s="1">
        <f>AF56+50</f>
        <v>700</v>
      </c>
    </row>
    <row r="58" spans="18:32" ht="15" customHeight="1">
      <c r="AE58" s="1">
        <f>AE57+1000</f>
        <v>15000</v>
      </c>
      <c r="AF58" s="1">
        <f>AF57+50</f>
        <v>750</v>
      </c>
    </row>
    <row r="59" spans="18:32" ht="15" customHeight="1">
      <c r="AE59" s="1">
        <f>AE58+1000</f>
        <v>16000</v>
      </c>
      <c r="AF59" s="1">
        <f>AF58+50</f>
        <v>800</v>
      </c>
    </row>
    <row r="60" spans="18:32" ht="15" customHeight="1">
      <c r="AE60" s="1">
        <f>AE59+1000</f>
        <v>17000</v>
      </c>
      <c r="AF60" s="1">
        <f>AF59+50</f>
        <v>850</v>
      </c>
    </row>
    <row r="61" spans="18:32" ht="15" customHeight="1">
      <c r="AE61" s="1">
        <f>AE60+1000</f>
        <v>18000</v>
      </c>
      <c r="AF61" s="1">
        <f>AF60+50</f>
        <v>900</v>
      </c>
    </row>
    <row r="62" spans="18:32" ht="15" customHeight="1">
      <c r="R62" s="1" t="s">
        <v>521</v>
      </c>
      <c r="AE62" s="1">
        <f>AE61+1000</f>
        <v>19000</v>
      </c>
      <c r="AF62" s="1">
        <f>AF61+50</f>
        <v>950</v>
      </c>
    </row>
    <row r="63" spans="18:32" ht="15" customHeight="1">
      <c r="AE63" s="1">
        <f>AE62+1000</f>
        <v>20000</v>
      </c>
      <c r="AF63" s="1">
        <f>AF62+50</f>
        <v>1000</v>
      </c>
    </row>
  </sheetData>
  <mergeCells count="5">
    <mergeCell ref="C2:D2"/>
    <mergeCell ref="E2:F2"/>
    <mergeCell ref="H2:O2"/>
    <mergeCell ref="P2:W2"/>
    <mergeCell ref="AC11:AE11"/>
  </mergeCells>
  <conditionalFormatting sqref="A1:W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3"/>
  <sheetViews>
    <sheetView tabSelected="1" zoomScaleNormal="100" workbookViewId="0">
      <selection activeCell="B2" sqref="B2"/>
    </sheetView>
  </sheetViews>
  <sheetFormatPr defaultColWidth="8.7109375" defaultRowHeight="15"/>
  <cols>
    <col min="1" max="1" width="22.85546875" style="1" customWidth="1"/>
    <col min="2" max="2" width="10.140625" style="1" customWidth="1"/>
    <col min="5" max="5" width="7.42578125" style="1" customWidth="1"/>
    <col min="7" max="7" width="14" style="1" customWidth="1"/>
  </cols>
  <sheetData>
    <row r="1" spans="1:13" ht="15" customHeight="1">
      <c r="A1" s="370" t="s">
        <v>568</v>
      </c>
      <c r="B1" s="6"/>
      <c r="F1" s="522" t="s">
        <v>569</v>
      </c>
      <c r="G1" s="522"/>
      <c r="J1" s="523" t="s">
        <v>570</v>
      </c>
      <c r="K1" s="523"/>
      <c r="L1" s="523"/>
    </row>
    <row r="2" spans="1:13" ht="15" customHeight="1">
      <c r="A2" s="358" t="s">
        <v>571</v>
      </c>
      <c r="B2" s="295">
        <f>'ACT 3'!F2</f>
        <v>1649.2521457653345</v>
      </c>
      <c r="F2" s="4" t="s">
        <v>521</v>
      </c>
      <c r="G2" s="359">
        <f>B11</f>
        <v>3.8333742534290144E-2</v>
      </c>
      <c r="J2" s="296"/>
      <c r="K2" s="297">
        <f>ROUND(SQRT((3)*(B11)/C11),2)</f>
        <v>1.35</v>
      </c>
    </row>
    <row r="3" spans="1:13" ht="18" customHeight="1">
      <c r="A3" s="358" t="s">
        <v>572</v>
      </c>
      <c r="B3" s="298">
        <f>'ACT 3'!J4</f>
        <v>126.52100068226807</v>
      </c>
      <c r="F3" s="4"/>
      <c r="G3" s="359" t="s">
        <v>573</v>
      </c>
      <c r="H3" s="359">
        <f>C11</f>
        <v>6.2694170114260872E-2</v>
      </c>
      <c r="J3" s="359" t="s">
        <v>495</v>
      </c>
      <c r="K3" s="299">
        <f>ROUND((4)*(B11),3)</f>
        <v>0.153</v>
      </c>
    </row>
    <row r="4" spans="1:13" ht="15" customHeight="1">
      <c r="A4" s="358" t="s">
        <v>574</v>
      </c>
      <c r="B4" s="300">
        <f>'ACT 5'!D7</f>
        <v>158.62607288266719</v>
      </c>
      <c r="F4" s="520"/>
      <c r="G4" s="524">
        <f>ROUND(0.5*SQRT((1/C11)/B11),2)</f>
        <v>10.199999999999999</v>
      </c>
      <c r="J4" s="359"/>
      <c r="K4" s="359">
        <f>ROUND((778)*(0.78/G6)*(((K2)^1.5)/K3)*(SQRT(B10*B3))*((1/SQRT(G7))-(1/SQRT(B2))),2)</f>
        <v>7.63</v>
      </c>
    </row>
    <row r="5" spans="1:13" ht="15" customHeight="1">
      <c r="A5" s="358" t="s">
        <v>177</v>
      </c>
      <c r="B5" s="370">
        <v>125</v>
      </c>
      <c r="F5" s="520"/>
      <c r="G5" s="520"/>
      <c r="K5" s="301">
        <f>INT(K4)</f>
        <v>7</v>
      </c>
      <c r="L5" s="359" t="s">
        <v>575</v>
      </c>
      <c r="M5" s="89" t="s">
        <v>576</v>
      </c>
    </row>
    <row r="6" spans="1:13" ht="18" customHeight="1">
      <c r="A6" s="358" t="s">
        <v>577</v>
      </c>
      <c r="B6" s="369">
        <v>93.75</v>
      </c>
      <c r="F6" s="4" t="s">
        <v>578</v>
      </c>
      <c r="G6" s="301">
        <f>ROUND(B9/(0.65*B5),3)</f>
        <v>0.57099999999999995</v>
      </c>
      <c r="H6" s="89" t="s">
        <v>579</v>
      </c>
      <c r="J6" s="301">
        <f>(K4-INT(K4))*60</f>
        <v>37.799999999999997</v>
      </c>
      <c r="K6" s="359">
        <f>J6*(60/1)</f>
        <v>2268</v>
      </c>
    </row>
    <row r="7" spans="1:13" ht="15" customHeight="1">
      <c r="A7" s="358" t="s">
        <v>580</v>
      </c>
      <c r="B7" s="370">
        <v>2550</v>
      </c>
      <c r="F7" s="4"/>
      <c r="G7" s="299">
        <f>ROUND(B2-B4,2)</f>
        <v>1490.63</v>
      </c>
      <c r="K7" s="301">
        <f>INT(J6)</f>
        <v>37</v>
      </c>
      <c r="L7" s="359" t="s">
        <v>581</v>
      </c>
    </row>
    <row r="8" spans="1:13" ht="15" customHeight="1">
      <c r="A8" s="358" t="s">
        <v>582</v>
      </c>
      <c r="B8" s="359">
        <v>71.400000000000006</v>
      </c>
      <c r="C8" s="115"/>
      <c r="F8" s="4"/>
      <c r="G8" s="299">
        <f>ROUND((375)*((0.78)/(G6))*(G4)*(LN(B2/G7)),2)</f>
        <v>528.37</v>
      </c>
      <c r="J8" s="301">
        <f>(J6-INT(J6))</f>
        <v>0.79999999999999716</v>
      </c>
      <c r="K8" s="299">
        <f>J8*(60/1)</f>
        <v>47.999999999999829</v>
      </c>
      <c r="L8" s="359" t="s">
        <v>583</v>
      </c>
    </row>
    <row r="9" spans="1:13" ht="15" customHeight="1">
      <c r="A9" s="358" t="s">
        <v>584</v>
      </c>
      <c r="B9" s="302">
        <v>46.41</v>
      </c>
      <c r="C9" s="115"/>
    </row>
    <row r="10" spans="1:13" ht="15" customHeight="1">
      <c r="A10" s="358" t="s">
        <v>585</v>
      </c>
      <c r="B10" s="303">
        <v>2.3770000000000002E-3</v>
      </c>
      <c r="C10" s="304"/>
      <c r="F10" s="523" t="s">
        <v>586</v>
      </c>
      <c r="G10" s="523"/>
      <c r="J10" s="522" t="s">
        <v>587</v>
      </c>
      <c r="K10" s="522"/>
      <c r="L10" s="522"/>
    </row>
    <row r="11" spans="1:13" ht="15" customHeight="1">
      <c r="A11" s="358" t="s">
        <v>588</v>
      </c>
      <c r="B11" s="303">
        <f>'ACT 9'!P31</f>
        <v>3.8333742534290144E-2</v>
      </c>
      <c r="C11" s="305">
        <f>'ACT 9'!P32</f>
        <v>6.2694170114260872E-2</v>
      </c>
      <c r="D11" s="359"/>
      <c r="F11" s="4"/>
      <c r="G11" s="306">
        <f>ROUND(SQRT(B11/C11),3)</f>
        <v>0.78200000000000003</v>
      </c>
      <c r="J11" s="449"/>
      <c r="K11" s="520">
        <f>ROUND(SQRT((B2/B3)*(2/B10)*(1/K2)),2)</f>
        <v>90.14</v>
      </c>
      <c r="L11" s="520"/>
    </row>
    <row r="12" spans="1:13" ht="15" customHeight="1">
      <c r="F12" s="520"/>
      <c r="G12" s="6">
        <f>ROUND(SQRT((B2/B3)*(2/B10)*(1/G11)),2)</f>
        <v>118.43</v>
      </c>
      <c r="J12" s="449"/>
      <c r="K12" s="521">
        <f>ROUND(K11*(15/22), 2)</f>
        <v>61.46</v>
      </c>
      <c r="L12" s="521"/>
    </row>
    <row r="13" spans="1:13" ht="15" customHeight="1">
      <c r="F13" s="520"/>
      <c r="G13" s="369">
        <f>ROUND(G12*(15/22),2)</f>
        <v>80.75</v>
      </c>
    </row>
    <row r="14" spans="1:13" ht="15" customHeight="1">
      <c r="G14" s="45"/>
    </row>
    <row r="23" spans="7:10" ht="15" customHeight="1">
      <c r="G23" s="1">
        <v>2.203389831</v>
      </c>
      <c r="H23" s="1">
        <v>19066.230869999999</v>
      </c>
      <c r="J23" s="1">
        <v>10681.31719</v>
      </c>
    </row>
  </sheetData>
  <mergeCells count="10">
    <mergeCell ref="J11:J12"/>
    <mergeCell ref="K11:L11"/>
    <mergeCell ref="F12:F13"/>
    <mergeCell ref="K12:L12"/>
    <mergeCell ref="F1:G1"/>
    <mergeCell ref="J1:L1"/>
    <mergeCell ref="F4:F5"/>
    <mergeCell ref="G4:G5"/>
    <mergeCell ref="F10:G10"/>
    <mergeCell ref="J10:L1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MARCO BERNALDO</dc:creator>
  <cp:keywords/>
  <dc:description/>
  <cp:lastModifiedBy/>
  <cp:revision>2</cp:revision>
  <dcterms:created xsi:type="dcterms:W3CDTF">2023-09-12T15:25:08Z</dcterms:created>
  <dcterms:modified xsi:type="dcterms:W3CDTF">2026-04-01T10:15:20Z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0x01010088FD965728A27E41BFCAFC1AF783BA49</vt:lpwstr>
  </property>
</Properties>
</file>