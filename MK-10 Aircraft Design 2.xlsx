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itbydcj-\Desktop\"/>
    </mc:Choice>
  </mc:AlternateContent>
  <xr:revisionPtr revIDLastSave="0" documentId="8_{F12E31D1-4481-410A-A2E7-B497C4719218}" xr6:coauthVersionLast="47" xr6:coauthVersionMax="47" xr10:uidLastSave="{00000000-0000-0000-0000-000000000000}"/>
  <bookViews>
    <workbookView xWindow="345" yWindow="0" windowWidth="28455" windowHeight="15600" activeTab="2" xr2:uid="{9E161921-37CA-42CF-9589-A4644635BC04}"/>
  </bookViews>
  <sheets>
    <sheet name="ACT 1" sheetId="3" r:id="rId1"/>
    <sheet name="ACT 2" sheetId="5" r:id="rId2"/>
    <sheet name="ACT 3" sheetId="8" r:id="rId3"/>
    <sheet name="ACT 2 v2" sheetId="6" r:id="rId4"/>
    <sheet name="ACT 4" sheetId="9" r:id="rId5"/>
    <sheet name="ACT 5" sheetId="10" r:id="rId6"/>
    <sheet name="ACT 6" sheetId="11" r:id="rId7"/>
    <sheet name="ACT 8" sheetId="12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E58" i="5"/>
  <c r="E59" i="5"/>
  <c r="E60" i="5"/>
  <c r="E61" i="5"/>
  <c r="E62" i="5"/>
  <c r="E63" i="5"/>
  <c r="E64" i="5"/>
  <c r="E65" i="5"/>
  <c r="E66" i="5"/>
  <c r="E67" i="5"/>
  <c r="E68" i="5"/>
  <c r="E69" i="5"/>
  <c r="B43" i="3"/>
  <c r="A40" i="3"/>
  <c r="M23" i="12"/>
  <c r="M22" i="12"/>
  <c r="M21" i="12"/>
  <c r="AA13" i="12"/>
  <c r="T17" i="12"/>
  <c r="AA16" i="12" s="1"/>
  <c r="T16" i="12"/>
  <c r="AA15" i="12" s="1"/>
  <c r="T14" i="12"/>
  <c r="T9" i="12"/>
  <c r="M19" i="12" l="1"/>
  <c r="T18" i="12" s="1"/>
  <c r="AA17" i="12" s="1"/>
  <c r="M15" i="12"/>
  <c r="M13" i="12"/>
  <c r="T12" i="12" s="1"/>
  <c r="AA11" i="12" s="1"/>
  <c r="M10" i="12"/>
  <c r="I9" i="12"/>
  <c r="C17" i="12"/>
  <c r="C16" i="12"/>
  <c r="C15" i="12"/>
  <c r="C14" i="12"/>
  <c r="C13" i="12"/>
  <c r="C11" i="12"/>
  <c r="C9" i="12"/>
  <c r="C24" i="12" l="1"/>
  <c r="C25" i="12" s="1"/>
  <c r="C7" i="12"/>
  <c r="C8" i="12" s="1"/>
  <c r="W8" i="11"/>
  <c r="K10" i="11" s="1"/>
  <c r="T28" i="11" a="1"/>
  <c r="T28" i="11" s="1"/>
  <c r="T34" i="10"/>
  <c r="Y29" i="11" l="1"/>
  <c r="Y35" i="11"/>
  <c r="Y31" i="11"/>
  <c r="Y33" i="11"/>
  <c r="Y28" i="11"/>
  <c r="Y34" i="11"/>
  <c r="Y30" i="11"/>
  <c r="Y37" i="11"/>
  <c r="Y36" i="11"/>
  <c r="Y32" i="11"/>
  <c r="S9" i="11" l="1"/>
  <c r="S14" i="10"/>
  <c r="C13" i="10"/>
  <c r="K15" i="10" s="1"/>
  <c r="L15" i="10" s="1"/>
  <c r="S7" i="10"/>
  <c r="C7" i="10"/>
  <c r="C8" i="10" s="1"/>
  <c r="K9" i="10" l="1"/>
  <c r="L9" i="10" s="1"/>
  <c r="K13" i="10"/>
  <c r="L13" i="10" s="1"/>
  <c r="K17" i="10"/>
  <c r="L17" i="10" s="1"/>
  <c r="K14" i="10"/>
  <c r="L14" i="10" s="1"/>
  <c r="K18" i="10"/>
  <c r="L18" i="10" s="1"/>
  <c r="K12" i="10"/>
  <c r="L12" i="10" s="1"/>
  <c r="K11" i="10"/>
  <c r="L11" i="10" s="1"/>
  <c r="K16" i="10"/>
  <c r="L16" i="10" s="1"/>
  <c r="K10" i="10"/>
  <c r="L10" i="10" s="1"/>
  <c r="D5" i="11" l="1"/>
  <c r="D6" i="11" s="1"/>
  <c r="D8" i="11" l="1"/>
  <c r="D10" i="11" l="1"/>
  <c r="F34" i="11" l="1"/>
  <c r="F32" i="11"/>
  <c r="D11" i="11"/>
  <c r="D12" i="11" s="1"/>
  <c r="M25" i="10"/>
  <c r="O25" i="10" s="1"/>
  <c r="P25" i="10" s="1"/>
  <c r="M26" i="10"/>
  <c r="U26" i="10" s="1"/>
  <c r="W26" i="10" s="1"/>
  <c r="M27" i="10"/>
  <c r="U27" i="10" s="1"/>
  <c r="W27" i="10" s="1"/>
  <c r="M28" i="10"/>
  <c r="U28" i="10" s="1"/>
  <c r="W28" i="10" s="1"/>
  <c r="M29" i="10"/>
  <c r="O29" i="10" s="1"/>
  <c r="P29" i="10" s="1"/>
  <c r="M30" i="10"/>
  <c r="M31" i="10"/>
  <c r="U31" i="10" s="1"/>
  <c r="W31" i="10" s="1"/>
  <c r="M32" i="10"/>
  <c r="U32" i="10" s="1"/>
  <c r="W32" i="10" s="1"/>
  <c r="M33" i="10"/>
  <c r="M24" i="10"/>
  <c r="P10" i="10"/>
  <c r="N25" i="10" s="1"/>
  <c r="P11" i="10"/>
  <c r="N26" i="10" s="1"/>
  <c r="P12" i="10"/>
  <c r="N27" i="10" s="1"/>
  <c r="P13" i="10"/>
  <c r="N28" i="10" s="1"/>
  <c r="P14" i="10"/>
  <c r="N29" i="10" s="1"/>
  <c r="P15" i="10"/>
  <c r="N30" i="10" s="1"/>
  <c r="P16" i="10"/>
  <c r="N31" i="10" s="1"/>
  <c r="P17" i="10"/>
  <c r="N32" i="10" s="1"/>
  <c r="P18" i="10"/>
  <c r="N33" i="10" s="1"/>
  <c r="P9" i="10"/>
  <c r="N24" i="10" s="1"/>
  <c r="C16" i="10"/>
  <c r="C20" i="10"/>
  <c r="C18" i="10"/>
  <c r="C19" i="10" s="1"/>
  <c r="C14" i="10"/>
  <c r="C15" i="10" s="1"/>
  <c r="C25" i="10" s="1"/>
  <c r="C12" i="10"/>
  <c r="D9" i="11" s="1"/>
  <c r="C17" i="10" l="1"/>
  <c r="D24" i="11" s="1"/>
  <c r="D23" i="11"/>
  <c r="U24" i="10"/>
  <c r="O33" i="10"/>
  <c r="P33" i="10" s="1"/>
  <c r="O30" i="10"/>
  <c r="T30" i="10" s="1"/>
  <c r="D13" i="11"/>
  <c r="O28" i="10"/>
  <c r="R28" i="10" s="1"/>
  <c r="C26" i="10"/>
  <c r="O31" i="10"/>
  <c r="M34" i="10"/>
  <c r="O27" i="10"/>
  <c r="O32" i="10"/>
  <c r="T32" i="10" s="1"/>
  <c r="P28" i="10"/>
  <c r="R30" i="10"/>
  <c r="T33" i="10"/>
  <c r="R33" i="10"/>
  <c r="R29" i="10"/>
  <c r="T29" i="10"/>
  <c r="T25" i="10"/>
  <c r="R25" i="10"/>
  <c r="U30" i="10"/>
  <c r="W30" i="10" s="1"/>
  <c r="O24" i="10"/>
  <c r="O26" i="10"/>
  <c r="P26" i="10" s="1"/>
  <c r="U33" i="10"/>
  <c r="W33" i="10" s="1"/>
  <c r="U29" i="10"/>
  <c r="W29" i="10" s="1"/>
  <c r="U25" i="10"/>
  <c r="W25" i="10" s="1"/>
  <c r="O24" i="11" l="1"/>
  <c r="O25" i="11" s="1"/>
  <c r="O32" i="11" s="1"/>
  <c r="K14" i="11"/>
  <c r="K24" i="11"/>
  <c r="K25" i="11" s="1"/>
  <c r="K13" i="11"/>
  <c r="U34" i="10"/>
  <c r="W24" i="10"/>
  <c r="W34" i="10" s="1"/>
  <c r="Q37" i="10" s="1"/>
  <c r="P30" i="10"/>
  <c r="O34" i="10"/>
  <c r="T28" i="10"/>
  <c r="D14" i="11"/>
  <c r="R32" i="10"/>
  <c r="P32" i="10"/>
  <c r="T31" i="10"/>
  <c r="R31" i="10"/>
  <c r="P31" i="10"/>
  <c r="T27" i="10"/>
  <c r="P27" i="10"/>
  <c r="R27" i="10"/>
  <c r="T26" i="10"/>
  <c r="R26" i="10"/>
  <c r="T24" i="10"/>
  <c r="R24" i="10"/>
  <c r="R34" i="10" s="1"/>
  <c r="M38" i="10" s="1"/>
  <c r="P24" i="10"/>
  <c r="K32" i="11" l="1"/>
  <c r="M39" i="10"/>
  <c r="P34" i="10"/>
  <c r="M37" i="10" s="1"/>
  <c r="Y25" i="9" l="1"/>
  <c r="Y24" i="9"/>
  <c r="Y23" i="9"/>
  <c r="D28" i="9"/>
  <c r="T56" i="9" l="1"/>
  <c r="T55" i="9"/>
  <c r="T53" i="9"/>
  <c r="T52" i="9"/>
  <c r="T51" i="9"/>
  <c r="T47" i="9"/>
  <c r="T27" i="9"/>
  <c r="T26" i="9"/>
  <c r="T25" i="9"/>
  <c r="D19" i="9" l="1"/>
  <c r="D18" i="9"/>
  <c r="D23" i="9" s="1"/>
  <c r="D22" i="9"/>
  <c r="M14" i="9" l="1"/>
  <c r="L14" i="9"/>
  <c r="N11" i="9"/>
  <c r="M11" i="9"/>
  <c r="L11" i="9"/>
  <c r="Q6" i="9"/>
  <c r="Q4" i="9"/>
  <c r="D16" i="9"/>
  <c r="D13" i="9"/>
  <c r="D9" i="9"/>
  <c r="D10" i="9" s="1"/>
  <c r="D7" i="8" l="1"/>
  <c r="I8" i="12" s="1"/>
  <c r="I11" i="12" s="1"/>
  <c r="D9" i="8"/>
  <c r="D14" i="9" s="1"/>
  <c r="D15" i="9" s="1"/>
  <c r="D10" i="8"/>
  <c r="D12" i="8"/>
  <c r="D18" i="8"/>
  <c r="D5" i="8"/>
  <c r="D5" i="9" s="1"/>
  <c r="G39" i="8"/>
  <c r="G38" i="8"/>
  <c r="F45" i="8"/>
  <c r="F46" i="8"/>
  <c r="F47" i="8"/>
  <c r="F39" i="8"/>
  <c r="F38" i="8"/>
  <c r="E45" i="8"/>
  <c r="E46" i="8"/>
  <c r="E47" i="8"/>
  <c r="E43" i="8"/>
  <c r="E39" i="8"/>
  <c r="E38" i="8"/>
  <c r="D47" i="8"/>
  <c r="D46" i="8"/>
  <c r="D45" i="8"/>
  <c r="D44" i="8"/>
  <c r="Y8" i="8"/>
  <c r="AJ32" i="8"/>
  <c r="AG32" i="8"/>
  <c r="Y7" i="8"/>
  <c r="AJ28" i="8"/>
  <c r="AI28" i="8"/>
  <c r="AG29" i="8"/>
  <c r="AG30" i="8"/>
  <c r="AG28" i="8"/>
  <c r="D7" i="9" l="1"/>
  <c r="C9" i="10" s="1"/>
  <c r="D17" i="11" s="1"/>
  <c r="D18" i="11" s="1"/>
  <c r="K6" i="11" s="1"/>
  <c r="J4" i="8"/>
  <c r="T33" i="9"/>
  <c r="C6" i="10"/>
  <c r="D4" i="11" s="1"/>
  <c r="C6" i="12" s="1"/>
  <c r="T34" i="9"/>
  <c r="T35" i="9" s="1"/>
  <c r="N32" i="9"/>
  <c r="N30" i="9"/>
  <c r="J36" i="9"/>
  <c r="J34" i="9"/>
  <c r="J32" i="9"/>
  <c r="J30" i="9"/>
  <c r="N4" i="9"/>
  <c r="M4" i="9"/>
  <c r="L4" i="9"/>
  <c r="K4" i="9"/>
  <c r="C45" i="8"/>
  <c r="C46" i="8"/>
  <c r="B45" i="8"/>
  <c r="F30" i="8"/>
  <c r="E30" i="8"/>
  <c r="E25" i="8"/>
  <c r="B25" i="8"/>
  <c r="C25" i="8" s="1"/>
  <c r="D17" i="9" l="1"/>
  <c r="K13" i="9" s="1"/>
  <c r="T41" i="9"/>
  <c r="K5" i="9"/>
  <c r="L5" i="9"/>
  <c r="I12" i="12"/>
  <c r="T44" i="9"/>
  <c r="T40" i="9"/>
  <c r="T37" i="9"/>
  <c r="T36" i="9"/>
  <c r="N37" i="9"/>
  <c r="L13" i="9"/>
  <c r="AC7" i="8"/>
  <c r="Y5" i="8" s="1"/>
  <c r="AB9" i="8" s="1"/>
  <c r="H24" i="12" l="1"/>
  <c r="M24" i="12"/>
  <c r="I15" i="12"/>
  <c r="M28" i="12"/>
  <c r="C28" i="12" s="1"/>
  <c r="M27" i="12"/>
  <c r="T20" i="12"/>
  <c r="M8" i="12"/>
  <c r="T7" i="12" s="1"/>
  <c r="AA7" i="12" s="1"/>
  <c r="AA19" i="12"/>
  <c r="H28" i="12" s="1"/>
  <c r="T21" i="12"/>
  <c r="M11" i="12"/>
  <c r="M25" i="12" s="1"/>
  <c r="C29" i="12" s="1"/>
  <c r="N23" i="8"/>
  <c r="J24" i="8" s="1"/>
  <c r="C31" i="8" s="1"/>
  <c r="AI13" i="8"/>
  <c r="AI11" i="8"/>
  <c r="AC52" i="8"/>
  <c r="AC57" i="8" s="1"/>
  <c r="AC58" i="8" s="1"/>
  <c r="Y38" i="8" s="1"/>
  <c r="AC42" i="8"/>
  <c r="AC47" i="8" s="1"/>
  <c r="AC48" i="8" s="1"/>
  <c r="Y37" i="8" s="1"/>
  <c r="AC38" i="8"/>
  <c r="Y36" i="8" s="1"/>
  <c r="AC29" i="8"/>
  <c r="Y21" i="8" s="1"/>
  <c r="AC25" i="8"/>
  <c r="Y20" i="8" s="1"/>
  <c r="AC21" i="8"/>
  <c r="Y19" i="8" s="1"/>
  <c r="Y4" i="8"/>
  <c r="V49" i="8"/>
  <c r="V54" i="8" s="1"/>
  <c r="V13" i="8"/>
  <c r="R15" i="8" s="1"/>
  <c r="N48" i="8"/>
  <c r="N42" i="8"/>
  <c r="N47" i="8" s="1"/>
  <c r="N40" i="8"/>
  <c r="N34" i="8"/>
  <c r="N39" i="8" s="1"/>
  <c r="J13" i="8"/>
  <c r="B31" i="8" s="1"/>
  <c r="D19" i="8"/>
  <c r="D16" i="8"/>
  <c r="D17" i="8" s="1"/>
  <c r="Y17" i="8" s="1"/>
  <c r="D11" i="8"/>
  <c r="D8" i="8"/>
  <c r="D6" i="8"/>
  <c r="D6" i="9" s="1"/>
  <c r="D7" i="11" s="1"/>
  <c r="R4" i="8"/>
  <c r="C26" i="12" l="1"/>
  <c r="H25" i="12"/>
  <c r="T10" i="12"/>
  <c r="C31" i="12"/>
  <c r="L6" i="9"/>
  <c r="L7" i="9" s="1"/>
  <c r="M6" i="9"/>
  <c r="N6" i="9"/>
  <c r="K6" i="9"/>
  <c r="K7" i="9" s="1"/>
  <c r="R17" i="8"/>
  <c r="E34" i="8" s="1"/>
  <c r="Y41" i="8"/>
  <c r="F50" i="8" s="1"/>
  <c r="Y11" i="8"/>
  <c r="D50" i="8" s="1"/>
  <c r="R27" i="8"/>
  <c r="F32" i="8" s="1"/>
  <c r="E32" i="8"/>
  <c r="R8" i="8"/>
  <c r="B23" i="8"/>
  <c r="C38" i="8" s="1"/>
  <c r="C23" i="8"/>
  <c r="D23" i="8"/>
  <c r="AF4" i="8"/>
  <c r="AI8" i="8" s="1"/>
  <c r="AJ8" i="8" s="1"/>
  <c r="Y33" i="8"/>
  <c r="Y40" i="8"/>
  <c r="F49" i="8" s="1"/>
  <c r="Y23" i="8"/>
  <c r="E49" i="8" s="1"/>
  <c r="Y18" i="8"/>
  <c r="Y24" i="8"/>
  <c r="E50" i="8" s="1"/>
  <c r="Y14" i="8"/>
  <c r="N46" i="8"/>
  <c r="J36" i="8" s="1"/>
  <c r="D32" i="8" s="1"/>
  <c r="R5" i="8"/>
  <c r="R6" i="8" s="1"/>
  <c r="J31" i="8"/>
  <c r="J5" i="8"/>
  <c r="B27" i="8" s="1"/>
  <c r="D13" i="8"/>
  <c r="R7" i="8"/>
  <c r="C69" i="5"/>
  <c r="D69" i="5" s="1"/>
  <c r="B63" i="5"/>
  <c r="B64" i="5" s="1"/>
  <c r="B62" i="5"/>
  <c r="C62" i="5" s="1"/>
  <c r="D62" i="5" s="1"/>
  <c r="B61" i="5"/>
  <c r="C61" i="5" s="1"/>
  <c r="D61" i="5" s="1"/>
  <c r="B60" i="5"/>
  <c r="C60" i="5" s="1"/>
  <c r="D60" i="5" s="1"/>
  <c r="B59" i="5"/>
  <c r="C59" i="5" s="1"/>
  <c r="D59" i="5" s="1"/>
  <c r="C58" i="5"/>
  <c r="D58" i="5" s="1"/>
  <c r="B58" i="5"/>
  <c r="C57" i="5"/>
  <c r="D57" i="5" s="1"/>
  <c r="R33" i="8" l="1"/>
  <c r="D11" i="9"/>
  <c r="D12" i="9" s="1"/>
  <c r="K22" i="9"/>
  <c r="K23" i="9" s="1"/>
  <c r="K24" i="9" s="1"/>
  <c r="L22" i="9"/>
  <c r="L23" i="9" s="1"/>
  <c r="L24" i="9" s="1"/>
  <c r="L15" i="9"/>
  <c r="L12" i="9"/>
  <c r="L18" i="9" s="1"/>
  <c r="J9" i="8"/>
  <c r="B24" i="8" s="1"/>
  <c r="C24" i="8" s="1"/>
  <c r="D8" i="9"/>
  <c r="C10" i="10" s="1"/>
  <c r="C11" i="10" s="1"/>
  <c r="Y34" i="8"/>
  <c r="F41" i="8"/>
  <c r="Y15" i="8"/>
  <c r="E41" i="8"/>
  <c r="Y22" i="8"/>
  <c r="E48" i="8" s="1"/>
  <c r="E44" i="8"/>
  <c r="E23" i="8"/>
  <c r="B38" i="8" s="1"/>
  <c r="D38" i="8" s="1"/>
  <c r="E27" i="8"/>
  <c r="F27" i="8" s="1"/>
  <c r="C27" i="8"/>
  <c r="J32" i="8"/>
  <c r="D26" i="8"/>
  <c r="R46" i="8"/>
  <c r="C41" i="8" s="1"/>
  <c r="B26" i="8"/>
  <c r="C26" i="8" s="1"/>
  <c r="AF5" i="8"/>
  <c r="AI12" i="8"/>
  <c r="AJ12" i="8" s="1"/>
  <c r="R9" i="8"/>
  <c r="J6" i="8"/>
  <c r="R47" i="8"/>
  <c r="R11" i="8"/>
  <c r="Y9" i="8" s="1"/>
  <c r="D48" i="8" s="1"/>
  <c r="F61" i="5"/>
  <c r="F57" i="5"/>
  <c r="F62" i="5"/>
  <c r="B65" i="5"/>
  <c r="C64" i="5"/>
  <c r="D64" i="5" s="1"/>
  <c r="F58" i="5"/>
  <c r="F69" i="5"/>
  <c r="F59" i="5"/>
  <c r="F60" i="5"/>
  <c r="C63" i="5"/>
  <c r="D63" i="5" s="1"/>
  <c r="M5" i="9" l="1"/>
  <c r="M7" i="9" s="1"/>
  <c r="M12" i="9" s="1"/>
  <c r="M18" i="9" s="1"/>
  <c r="N5" i="9"/>
  <c r="N7" i="9" s="1"/>
  <c r="N22" i="9" s="1"/>
  <c r="N23" i="9" s="1"/>
  <c r="N24" i="9" s="1"/>
  <c r="R54" i="8"/>
  <c r="C49" i="8" s="1"/>
  <c r="J39" i="8"/>
  <c r="D35" i="8" s="1"/>
  <c r="C39" i="8"/>
  <c r="J38" i="8"/>
  <c r="D34" i="8" s="1"/>
  <c r="M15" i="10"/>
  <c r="M13" i="10"/>
  <c r="M16" i="10"/>
  <c r="M18" i="10"/>
  <c r="M11" i="10"/>
  <c r="M9" i="10"/>
  <c r="M12" i="10"/>
  <c r="M14" i="10"/>
  <c r="M10" i="10"/>
  <c r="M17" i="10"/>
  <c r="J8" i="8"/>
  <c r="K8" i="9"/>
  <c r="D28" i="8"/>
  <c r="L8" i="9"/>
  <c r="M42" i="9" s="1"/>
  <c r="M15" i="9"/>
  <c r="J33" i="8"/>
  <c r="AF11" i="8"/>
  <c r="G49" i="8" s="1"/>
  <c r="G45" i="8"/>
  <c r="F43" i="8"/>
  <c r="Y35" i="8"/>
  <c r="F44" i="8" s="1"/>
  <c r="R48" i="8"/>
  <c r="C42" i="8"/>
  <c r="R34" i="8"/>
  <c r="B41" i="8"/>
  <c r="Y10" i="8"/>
  <c r="D49" i="8" s="1"/>
  <c r="E24" i="8"/>
  <c r="E26" i="8"/>
  <c r="F26" i="8" s="1"/>
  <c r="R10" i="8"/>
  <c r="AI16" i="8"/>
  <c r="AF6" i="8"/>
  <c r="G44" i="8" s="1"/>
  <c r="R22" i="8"/>
  <c r="R18" i="8"/>
  <c r="E35" i="8" s="1"/>
  <c r="F63" i="5"/>
  <c r="F64" i="5"/>
  <c r="C65" i="5"/>
  <c r="D65" i="5" s="1"/>
  <c r="B66" i="5"/>
  <c r="M22" i="9" l="1"/>
  <c r="M23" i="9" s="1"/>
  <c r="M24" i="9" s="1"/>
  <c r="J21" i="8"/>
  <c r="D21" i="11"/>
  <c r="K5" i="11" s="1"/>
  <c r="K7" i="11" s="1"/>
  <c r="N12" i="9"/>
  <c r="N18" i="9" s="1"/>
  <c r="J10" i="8"/>
  <c r="J22" i="8" s="1"/>
  <c r="C29" i="8" s="1"/>
  <c r="B28" i="8"/>
  <c r="C28" i="8" s="1"/>
  <c r="L9" i="9"/>
  <c r="K9" i="9"/>
  <c r="J42" i="9"/>
  <c r="M43" i="9" s="1"/>
  <c r="L16" i="9" s="1"/>
  <c r="L19" i="9" s="1"/>
  <c r="L25" i="9" s="1"/>
  <c r="D29" i="8"/>
  <c r="T4" i="9"/>
  <c r="U4" i="9" s="1"/>
  <c r="L10" i="9" s="1"/>
  <c r="E28" i="8"/>
  <c r="F28" i="8" s="1"/>
  <c r="M8" i="9"/>
  <c r="J45" i="9" s="1"/>
  <c r="B43" i="8"/>
  <c r="N8" i="9"/>
  <c r="M38" i="8"/>
  <c r="N38" i="8" s="1"/>
  <c r="J35" i="8" s="1"/>
  <c r="D31" i="8" s="1"/>
  <c r="J37" i="8"/>
  <c r="D33" i="8" s="1"/>
  <c r="Y39" i="8"/>
  <c r="F48" i="8" s="1"/>
  <c r="R12" i="8"/>
  <c r="B39" i="8"/>
  <c r="D39" i="8" s="1"/>
  <c r="F24" i="8"/>
  <c r="R21" i="8"/>
  <c r="R23" i="8" s="1"/>
  <c r="R49" i="8"/>
  <c r="C43" i="8"/>
  <c r="AF7" i="8"/>
  <c r="G43" i="8" s="1"/>
  <c r="AF10" i="8"/>
  <c r="G48" i="8" s="1"/>
  <c r="AJ16" i="8"/>
  <c r="AF8" i="8" s="1"/>
  <c r="G46" i="8" s="1"/>
  <c r="AI20" i="8"/>
  <c r="AJ20" i="8" s="1"/>
  <c r="AF9" i="8" s="1"/>
  <c r="R30" i="8"/>
  <c r="F35" i="8" s="1"/>
  <c r="R40" i="8"/>
  <c r="B49" i="8" s="1"/>
  <c r="R35" i="8"/>
  <c r="R24" i="8"/>
  <c r="F23" i="8" s="1"/>
  <c r="R29" i="8"/>
  <c r="F34" i="8" s="1"/>
  <c r="C66" i="5"/>
  <c r="D66" i="5" s="1"/>
  <c r="B67" i="5"/>
  <c r="F65" i="5"/>
  <c r="O9" i="11" l="1"/>
  <c r="P9" i="11" s="1"/>
  <c r="K8" i="11"/>
  <c r="M8" i="8"/>
  <c r="N8" i="8" s="1"/>
  <c r="J15" i="8"/>
  <c r="B33" i="8" s="1"/>
  <c r="J14" i="8"/>
  <c r="K14" i="9" s="1"/>
  <c r="K15" i="9" s="1"/>
  <c r="Q5" i="9"/>
  <c r="R5" i="9" s="1"/>
  <c r="K10" i="9" s="1"/>
  <c r="J11" i="8"/>
  <c r="B29" i="8"/>
  <c r="N9" i="9"/>
  <c r="M9" i="9"/>
  <c r="M45" i="9"/>
  <c r="M46" i="9" s="1"/>
  <c r="M16" i="9" s="1"/>
  <c r="L17" i="9"/>
  <c r="B44" i="8"/>
  <c r="Z4" i="9"/>
  <c r="E29" i="8"/>
  <c r="W5" i="9"/>
  <c r="X5" i="9" s="1"/>
  <c r="M10" i="9" s="1"/>
  <c r="J25" i="8"/>
  <c r="J28" i="8" s="1"/>
  <c r="C35" i="8" s="1"/>
  <c r="J26" i="8"/>
  <c r="C33" i="8" s="1"/>
  <c r="AF12" i="8"/>
  <c r="G50" i="8" s="1"/>
  <c r="G47" i="8"/>
  <c r="U9" i="8"/>
  <c r="V9" i="8" s="1"/>
  <c r="R14" i="8" s="1"/>
  <c r="E31" i="8" s="1"/>
  <c r="R16" i="8"/>
  <c r="E33" i="8" s="1"/>
  <c r="R28" i="8"/>
  <c r="F33" i="8" s="1"/>
  <c r="F29" i="8"/>
  <c r="C44" i="8"/>
  <c r="U54" i="8"/>
  <c r="V55" i="8" s="1"/>
  <c r="R52" i="8" s="1"/>
  <c r="R53" i="8"/>
  <c r="C48" i="8" s="1"/>
  <c r="U26" i="8"/>
  <c r="V26" i="8" s="1"/>
  <c r="R26" i="8" s="1"/>
  <c r="F31" i="8" s="1"/>
  <c r="U38" i="8"/>
  <c r="V38" i="8" s="1"/>
  <c r="R37" i="8" s="1"/>
  <c r="B46" i="8" s="1"/>
  <c r="R39" i="8"/>
  <c r="B48" i="8" s="1"/>
  <c r="U42" i="8"/>
  <c r="V42" i="8" s="1"/>
  <c r="R38" i="8" s="1"/>
  <c r="N14" i="9" s="1"/>
  <c r="N15" i="9" s="1"/>
  <c r="C67" i="5"/>
  <c r="D67" i="5" s="1"/>
  <c r="B68" i="5"/>
  <c r="C68" i="5" s="1"/>
  <c r="D68" i="5" s="1"/>
  <c r="F66" i="5"/>
  <c r="J17" i="8" l="1"/>
  <c r="B35" i="8" s="1"/>
  <c r="K16" i="11"/>
  <c r="B32" i="8"/>
  <c r="J12" i="8"/>
  <c r="B30" i="8" s="1"/>
  <c r="M19" i="9"/>
  <c r="M25" i="9" s="1"/>
  <c r="M17" i="9"/>
  <c r="M48" i="9"/>
  <c r="J48" i="9"/>
  <c r="N10" i="9"/>
  <c r="AA4" i="9"/>
  <c r="C32" i="8"/>
  <c r="R41" i="8"/>
  <c r="B50" i="8" s="1"/>
  <c r="B47" i="8"/>
  <c r="R55" i="8"/>
  <c r="C50" i="8" s="1"/>
  <c r="C47" i="8"/>
  <c r="F68" i="5"/>
  <c r="F67" i="5"/>
  <c r="Q20" i="6"/>
  <c r="Q22" i="6" s="1"/>
  <c r="AJ19" i="6"/>
  <c r="W7" i="6"/>
  <c r="W8" i="6" s="1"/>
  <c r="Q3" i="6"/>
  <c r="I19" i="6"/>
  <c r="J19" i="6" s="1"/>
  <c r="I21" i="6"/>
  <c r="J21" i="6" s="1"/>
  <c r="H8" i="6"/>
  <c r="I8" i="6" s="1"/>
  <c r="J8" i="6" s="1"/>
  <c r="AJ7" i="6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I7" i="6"/>
  <c r="J7" i="6" s="1"/>
  <c r="Q5" i="6"/>
  <c r="B5" i="6"/>
  <c r="B4" i="6"/>
  <c r="Q9" i="6" s="1"/>
  <c r="AQ3" i="6"/>
  <c r="AQ5" i="6" s="1"/>
  <c r="AQ9" i="6" s="1"/>
  <c r="AD3" i="6"/>
  <c r="E3" i="6"/>
  <c r="E4" i="6" s="1"/>
  <c r="J20" i="5"/>
  <c r="K17" i="11" l="1"/>
  <c r="K28" i="11"/>
  <c r="K29" i="11" s="1"/>
  <c r="K33" i="11" s="1"/>
  <c r="T20" i="11"/>
  <c r="J16" i="8"/>
  <c r="B34" i="8" s="1"/>
  <c r="K11" i="9"/>
  <c r="K12" i="9" s="1"/>
  <c r="K18" i="9" s="1"/>
  <c r="J23" i="8"/>
  <c r="C30" i="8" s="1"/>
  <c r="M49" i="9"/>
  <c r="N16" i="9" s="1"/>
  <c r="N17" i="9" s="1"/>
  <c r="W9" i="6"/>
  <c r="E37" i="6"/>
  <c r="E38" i="6" s="1"/>
  <c r="Q7" i="6"/>
  <c r="Q26" i="6" s="1"/>
  <c r="E25" i="6" s="1"/>
  <c r="E26" i="6" s="1"/>
  <c r="AF5" i="6"/>
  <c r="E28" i="6"/>
  <c r="E29" i="6" s="1"/>
  <c r="AD7" i="6"/>
  <c r="H9" i="6"/>
  <c r="AQ7" i="6"/>
  <c r="AQ11" i="6" s="1"/>
  <c r="E34" i="6" s="1"/>
  <c r="E35" i="6" s="1"/>
  <c r="E6" i="6"/>
  <c r="E22" i="6" s="1"/>
  <c r="E23" i="6" s="1"/>
  <c r="E31" i="6"/>
  <c r="E32" i="6" s="1"/>
  <c r="S24" i="6"/>
  <c r="X8" i="6" s="1"/>
  <c r="V28" i="11" l="1"/>
  <c r="V32" i="11"/>
  <c r="U33" i="11"/>
  <c r="U34" i="11"/>
  <c r="V33" i="11"/>
  <c r="V35" i="11"/>
  <c r="U32" i="11"/>
  <c r="U37" i="11"/>
  <c r="V34" i="11"/>
  <c r="V36" i="11"/>
  <c r="U30" i="11"/>
  <c r="V31" i="11"/>
  <c r="V37" i="11"/>
  <c r="U36" i="11"/>
  <c r="V29" i="11"/>
  <c r="U28" i="11"/>
  <c r="U31" i="11"/>
  <c r="V30" i="11"/>
  <c r="U35" i="11"/>
  <c r="U29" i="11"/>
  <c r="K36" i="11"/>
  <c r="K39" i="11"/>
  <c r="T21" i="11"/>
  <c r="O28" i="11"/>
  <c r="O29" i="11" s="1"/>
  <c r="O33" i="11" s="1"/>
  <c r="J38" i="9"/>
  <c r="N34" i="9"/>
  <c r="J27" i="8"/>
  <c r="C34" i="8" s="1"/>
  <c r="N19" i="9"/>
  <c r="N25" i="9" s="1"/>
  <c r="X7" i="6"/>
  <c r="Y19" i="6"/>
  <c r="X18" i="6"/>
  <c r="X19" i="6"/>
  <c r="X20" i="6"/>
  <c r="Y18" i="6"/>
  <c r="AL12" i="6"/>
  <c r="AL7" i="6"/>
  <c r="AL13" i="6"/>
  <c r="AL19" i="6"/>
  <c r="AL25" i="6"/>
  <c r="AK10" i="6"/>
  <c r="AK16" i="6"/>
  <c r="AK22" i="6"/>
  <c r="AL8" i="6"/>
  <c r="AL14" i="6"/>
  <c r="AL20" i="6"/>
  <c r="AL26" i="6"/>
  <c r="AK11" i="6"/>
  <c r="AK17" i="6"/>
  <c r="AK23" i="6"/>
  <c r="AL9" i="6"/>
  <c r="AL15" i="6"/>
  <c r="AL21" i="6"/>
  <c r="AL27" i="6"/>
  <c r="AK12" i="6"/>
  <c r="AK18" i="6"/>
  <c r="AK24" i="6"/>
  <c r="AL10" i="6"/>
  <c r="AL16" i="6"/>
  <c r="AL22" i="6"/>
  <c r="AK7" i="6"/>
  <c r="AK13" i="6"/>
  <c r="AK19" i="6"/>
  <c r="AK25" i="6"/>
  <c r="AL11" i="6"/>
  <c r="AL17" i="6"/>
  <c r="AL23" i="6"/>
  <c r="AK8" i="6"/>
  <c r="AK14" i="6"/>
  <c r="AK20" i="6"/>
  <c r="AK26" i="6"/>
  <c r="AL18" i="6"/>
  <c r="AL24" i="6"/>
  <c r="AK9" i="6"/>
  <c r="AK15" i="6"/>
  <c r="AK21" i="6"/>
  <c r="AK27" i="6"/>
  <c r="Y8" i="6"/>
  <c r="Y7" i="6"/>
  <c r="X9" i="6"/>
  <c r="W10" i="6"/>
  <c r="Y9" i="6"/>
  <c r="AF19" i="6"/>
  <c r="AG19" i="6"/>
  <c r="T19" i="6"/>
  <c r="S19" i="6"/>
  <c r="AD9" i="6"/>
  <c r="AK6" i="6"/>
  <c r="AD8" i="6"/>
  <c r="AL6" i="6"/>
  <c r="E10" i="6"/>
  <c r="E11" i="6" s="1"/>
  <c r="Q27" i="6"/>
  <c r="X6" i="6"/>
  <c r="Y20" i="6"/>
  <c r="Q28" i="6"/>
  <c r="Y6" i="6"/>
  <c r="E7" i="6"/>
  <c r="E8" i="6" s="1"/>
  <c r="H10" i="6"/>
  <c r="I9" i="6"/>
  <c r="J9" i="6" s="1"/>
  <c r="O36" i="9" l="1"/>
  <c r="K16" i="9" s="1"/>
  <c r="K19" i="9" s="1"/>
  <c r="K25" i="9" s="1"/>
  <c r="O39" i="11"/>
  <c r="O36" i="11"/>
  <c r="Z36" i="11"/>
  <c r="AA35" i="11"/>
  <c r="Z33" i="11"/>
  <c r="AA36" i="11"/>
  <c r="AA34" i="11"/>
  <c r="Z31" i="11"/>
  <c r="Z34" i="11"/>
  <c r="AA37" i="11"/>
  <c r="Z29" i="11"/>
  <c r="AA28" i="11"/>
  <c r="Z28" i="11"/>
  <c r="AA30" i="11"/>
  <c r="AA32" i="11"/>
  <c r="Z32" i="11"/>
  <c r="AA31" i="11"/>
  <c r="AA29" i="11"/>
  <c r="Z37" i="11"/>
  <c r="Z30" i="11"/>
  <c r="Z35" i="11"/>
  <c r="AA33" i="11"/>
  <c r="K17" i="9"/>
  <c r="X10" i="6"/>
  <c r="W11" i="6"/>
  <c r="Y10" i="6"/>
  <c r="I10" i="6"/>
  <c r="J10" i="6" s="1"/>
  <c r="H11" i="6"/>
  <c r="E13" i="6"/>
  <c r="K8" i="6"/>
  <c r="K19" i="6"/>
  <c r="K7" i="6"/>
  <c r="K21" i="6"/>
  <c r="E15" i="6"/>
  <c r="L8" i="6"/>
  <c r="L21" i="6"/>
  <c r="L7" i="6"/>
  <c r="L19" i="6"/>
  <c r="L9" i="6"/>
  <c r="K9" i="6"/>
  <c r="T21" i="9" l="1" a="1"/>
  <c r="T21" i="9" s="1"/>
  <c r="T22" i="9" s="1" a="1"/>
  <c r="T22" i="9" s="1"/>
  <c r="T23" i="9" s="1"/>
  <c r="X11" i="6"/>
  <c r="W12" i="6"/>
  <c r="Y11" i="6"/>
  <c r="I11" i="6"/>
  <c r="J11" i="6" s="1"/>
  <c r="H12" i="6"/>
  <c r="L10" i="6"/>
  <c r="K10" i="6"/>
  <c r="T30" i="9" l="1"/>
  <c r="T29" i="9"/>
  <c r="X12" i="6"/>
  <c r="W13" i="6"/>
  <c r="Y12" i="6"/>
  <c r="L11" i="6"/>
  <c r="K11" i="6"/>
  <c r="I12" i="6"/>
  <c r="J12" i="6" s="1"/>
  <c r="H13" i="6"/>
  <c r="W14" i="6" l="1"/>
  <c r="Y13" i="6"/>
  <c r="X13" i="6"/>
  <c r="I13" i="6"/>
  <c r="J13" i="6" s="1"/>
  <c r="H14" i="6"/>
  <c r="L12" i="6"/>
  <c r="K12" i="6"/>
  <c r="W15" i="6" l="1"/>
  <c r="Y14" i="6"/>
  <c r="X14" i="6"/>
  <c r="L13" i="6"/>
  <c r="K13" i="6"/>
  <c r="I14" i="6"/>
  <c r="J14" i="6" s="1"/>
  <c r="H15" i="6"/>
  <c r="X15" i="6" l="1"/>
  <c r="W16" i="6"/>
  <c r="Y15" i="6"/>
  <c r="I15" i="6"/>
  <c r="J15" i="6" s="1"/>
  <c r="H16" i="6"/>
  <c r="K14" i="6"/>
  <c r="L14" i="6"/>
  <c r="X16" i="6" l="1"/>
  <c r="W17" i="6"/>
  <c r="Y16" i="6"/>
  <c r="I16" i="6"/>
  <c r="J16" i="6" s="1"/>
  <c r="H17" i="6"/>
  <c r="K15" i="6"/>
  <c r="L15" i="6"/>
  <c r="X17" i="6" l="1"/>
  <c r="Y17" i="6"/>
  <c r="H18" i="6"/>
  <c r="I18" i="6" s="1"/>
  <c r="J18" i="6" s="1"/>
  <c r="I17" i="6"/>
  <c r="J17" i="6" s="1"/>
  <c r="L16" i="6"/>
  <c r="K16" i="6"/>
  <c r="L17" i="6" l="1"/>
  <c r="K17" i="6"/>
  <c r="L18" i="6"/>
  <c r="K18" i="6"/>
  <c r="F19" i="5" l="1"/>
  <c r="C10" i="5"/>
  <c r="F29" i="5"/>
  <c r="F27" i="5"/>
  <c r="C25" i="5"/>
  <c r="C24" i="5"/>
  <c r="C23" i="5"/>
  <c r="J21" i="5"/>
  <c r="K21" i="5" s="1"/>
  <c r="K20" i="5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F14" i="5"/>
  <c r="J13" i="5"/>
  <c r="K13" i="5" s="1"/>
  <c r="J12" i="5"/>
  <c r="K12" i="5" s="1"/>
  <c r="J11" i="5"/>
  <c r="K11" i="5" s="1"/>
  <c r="J10" i="5"/>
  <c r="K10" i="5" s="1"/>
  <c r="K9" i="5"/>
  <c r="J9" i="5"/>
  <c r="J8" i="5"/>
  <c r="K8" i="5" s="1"/>
  <c r="F28" i="5" l="1"/>
  <c r="G29" i="5" s="1"/>
  <c r="F30" i="5" s="1"/>
  <c r="F18" i="5"/>
  <c r="G20" i="5" s="1"/>
  <c r="K40" i="5" s="1"/>
  <c r="F15" i="5"/>
  <c r="F23" i="5" s="1"/>
  <c r="F7" i="5"/>
  <c r="F8" i="5" s="1"/>
  <c r="J35" i="5" l="1"/>
  <c r="K32" i="5"/>
  <c r="K31" i="5"/>
  <c r="J30" i="5"/>
  <c r="J40" i="5"/>
  <c r="K30" i="5"/>
  <c r="K33" i="5"/>
  <c r="J36" i="5"/>
  <c r="K28" i="5"/>
  <c r="K38" i="5"/>
  <c r="J39" i="5"/>
  <c r="K29" i="5"/>
  <c r="K41" i="5"/>
  <c r="J33" i="5"/>
  <c r="K36" i="5"/>
  <c r="K35" i="5"/>
  <c r="K34" i="5"/>
  <c r="F17" i="5"/>
  <c r="G21" i="5" s="1"/>
  <c r="J29" i="5"/>
  <c r="J32" i="5"/>
  <c r="J37" i="5"/>
  <c r="F9" i="5"/>
  <c r="F11" i="5" s="1"/>
  <c r="F13" i="5" s="1"/>
  <c r="G24" i="5"/>
  <c r="O49" i="5" s="1"/>
  <c r="J42" i="5"/>
  <c r="K39" i="5"/>
  <c r="J38" i="5"/>
  <c r="J31" i="5"/>
  <c r="K37" i="5"/>
  <c r="J28" i="5"/>
  <c r="K42" i="5"/>
  <c r="J41" i="5"/>
  <c r="J34" i="5"/>
  <c r="N36" i="5" l="1"/>
  <c r="N42" i="5"/>
  <c r="O30" i="5"/>
  <c r="N32" i="5"/>
  <c r="N31" i="5"/>
  <c r="N38" i="5"/>
  <c r="N47" i="5"/>
  <c r="O35" i="5"/>
  <c r="O31" i="5"/>
  <c r="O33" i="5"/>
  <c r="O34" i="5"/>
  <c r="O39" i="5"/>
  <c r="O38" i="5"/>
  <c r="N33" i="5"/>
  <c r="O29" i="5"/>
  <c r="O42" i="5"/>
  <c r="F25" i="5"/>
  <c r="N46" i="5"/>
  <c r="F10" i="5"/>
  <c r="F12" i="5" s="1"/>
  <c r="L14" i="5" s="1"/>
  <c r="O43" i="5"/>
  <c r="N34" i="5"/>
  <c r="O37" i="5"/>
  <c r="N45" i="5"/>
  <c r="N41" i="5"/>
  <c r="O46" i="5"/>
  <c r="N37" i="5"/>
  <c r="O44" i="5"/>
  <c r="O48" i="5"/>
  <c r="F21" i="5"/>
  <c r="N44" i="5"/>
  <c r="O47" i="5"/>
  <c r="N28" i="5"/>
  <c r="G25" i="5"/>
  <c r="N49" i="5"/>
  <c r="M15" i="5"/>
  <c r="M17" i="5"/>
  <c r="M18" i="5"/>
  <c r="M8" i="5"/>
  <c r="M12" i="5"/>
  <c r="M13" i="5"/>
  <c r="M10" i="5"/>
  <c r="M14" i="5"/>
  <c r="M19" i="5"/>
  <c r="M9" i="5"/>
  <c r="M21" i="5"/>
  <c r="M16" i="5"/>
  <c r="M20" i="5"/>
  <c r="M11" i="5"/>
  <c r="N30" i="5"/>
  <c r="N48" i="5"/>
  <c r="O36" i="5"/>
  <c r="O28" i="5"/>
  <c r="N43" i="5"/>
  <c r="O41" i="5"/>
  <c r="N40" i="5"/>
  <c r="O40" i="5"/>
  <c r="N39" i="5"/>
  <c r="N29" i="5"/>
  <c r="O45" i="5"/>
  <c r="N35" i="5"/>
  <c r="O32" i="5"/>
  <c r="L12" i="5" l="1"/>
  <c r="L16" i="5"/>
  <c r="L15" i="5"/>
  <c r="L9" i="5"/>
  <c r="L18" i="5"/>
  <c r="L11" i="5"/>
  <c r="L8" i="5"/>
  <c r="L20" i="5"/>
  <c r="L13" i="5"/>
  <c r="L21" i="5"/>
  <c r="L10" i="5"/>
  <c r="L19" i="5"/>
  <c r="L17" i="5"/>
  <c r="B42" i="3" l="1"/>
  <c r="A42" i="3"/>
  <c r="A48" i="3"/>
  <c r="B48" i="3" s="1"/>
  <c r="A45" i="3"/>
  <c r="B45" i="3" s="1"/>
  <c r="B46" i="3"/>
  <c r="A46" i="3"/>
  <c r="A44" i="3"/>
  <c r="B44" i="3" s="1"/>
  <c r="B41" i="3"/>
  <c r="A41" i="3"/>
  <c r="B40" i="3"/>
  <c r="A47" i="3"/>
  <c r="B47" i="3" s="1"/>
  <c r="A43" i="3"/>
  <c r="Y6" i="8"/>
  <c r="D43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<sst xmlns="http://schemas.openxmlformats.org/spreadsheetml/2006/main" count="1291" uniqueCount="580">
  <si>
    <t>CL</t>
  </si>
  <si>
    <t>α6</t>
  </si>
  <si>
    <t>Δαi</t>
  </si>
  <si>
    <t>αD</t>
  </si>
  <si>
    <t>CD6</t>
  </si>
  <si>
    <t>ΔCDi</t>
  </si>
  <si>
    <t>CDD</t>
  </si>
  <si>
    <t>cosαD</t>
  </si>
  <si>
    <t>sinαD</t>
  </si>
  <si>
    <t>CLcosαD</t>
  </si>
  <si>
    <t>CDDsinαD</t>
  </si>
  <si>
    <t>CN</t>
  </si>
  <si>
    <t>CLsinαD</t>
  </si>
  <si>
    <t>CDDcosαD</t>
  </si>
  <si>
    <t>CC</t>
  </si>
  <si>
    <t>C.P.</t>
  </si>
  <si>
    <t>Cmc/4</t>
  </si>
  <si>
    <t>Cma.c.</t>
  </si>
  <si>
    <t>CDi</t>
  </si>
  <si>
    <t>CD0</t>
  </si>
  <si>
    <t>-</t>
  </si>
  <si>
    <t>GIVEN</t>
  </si>
  <si>
    <t>CALCULATIONS</t>
  </si>
  <si>
    <t>TABLE 1</t>
  </si>
  <si>
    <t>①</t>
  </si>
  <si>
    <t>②</t>
  </si>
  <si>
    <t>③</t>
  </si>
  <si>
    <t>④</t>
  </si>
  <si>
    <t>⑤</t>
  </si>
  <si>
    <t>V</t>
  </si>
  <si>
    <t>V^2</t>
  </si>
  <si>
    <t>+n</t>
  </si>
  <si>
    <t>-n</t>
  </si>
  <si>
    <t>DATA</t>
  </si>
  <si>
    <t>VALUES</t>
  </si>
  <si>
    <t>n</t>
  </si>
  <si>
    <t>mph</t>
  </si>
  <si>
    <t>fps</t>
  </si>
  <si>
    <t>fps^2</t>
  </si>
  <si>
    <t>W (act 3-1)</t>
  </si>
  <si>
    <t>S (act 3-1)</t>
  </si>
  <si>
    <t>VA (mph)</t>
  </si>
  <si>
    <t>W/S (act 3-1)</t>
  </si>
  <si>
    <t>CNA</t>
  </si>
  <si>
    <t>Vs (mph) (act 10-1)</t>
  </si>
  <si>
    <t>-CNA</t>
  </si>
  <si>
    <t>Vmax (mph)(act 12-1)</t>
  </si>
  <si>
    <t>n(CNA)</t>
  </si>
  <si>
    <t>CLmax (act 1-2)</t>
  </si>
  <si>
    <t>n(-CNA)</t>
  </si>
  <si>
    <t>αD at CL=0.6 (act 1-2)</t>
  </si>
  <si>
    <t>Vc(des)</t>
  </si>
  <si>
    <t>αD at CL=0 (act 1-2)</t>
  </si>
  <si>
    <t>Vc(min)</t>
  </si>
  <si>
    <t>U Vc (set by prof)</t>
  </si>
  <si>
    <t>U Vd (set by prof)</t>
  </si>
  <si>
    <t>Vc to use:</t>
  </si>
  <si>
    <t>K</t>
  </si>
  <si>
    <t>What is your aircraft type?</t>
  </si>
  <si>
    <t>a (rad)</t>
  </si>
  <si>
    <t>Normal, Utility, or Acrobatic:</t>
  </si>
  <si>
    <t>Utility</t>
  </si>
  <si>
    <t xml:space="preserve">(limit gust load) n = </t>
  </si>
  <si>
    <t>1 ± V*</t>
  </si>
  <si>
    <t xml:space="preserve"> </t>
  </si>
  <si>
    <t>n =</t>
  </si>
  <si>
    <t>CONSTANT FACTORS</t>
  </si>
  <si>
    <t>Vd (mph)</t>
  </si>
  <si>
    <t>Vc(min) (mph)</t>
  </si>
  <si>
    <t>TABLE 2</t>
  </si>
  <si>
    <t>TABLE 3</t>
  </si>
  <si>
    <t>Clmaxδf</t>
  </si>
  <si>
    <t>VSL (fps)</t>
  </si>
  <si>
    <t>VF (mph)</t>
  </si>
  <si>
    <t>VF to use:</t>
  </si>
  <si>
    <t>Table 1</t>
  </si>
  <si>
    <t>Table 2</t>
  </si>
  <si>
    <t>Table 3</t>
  </si>
  <si>
    <t>For Vf</t>
  </si>
  <si>
    <t>Constants</t>
  </si>
  <si>
    <t>Taken from</t>
  </si>
  <si>
    <t>Condition 1:</t>
  </si>
  <si>
    <t>U</t>
  </si>
  <si>
    <t>Condition 3:</t>
  </si>
  <si>
    <t>Condition 6:</t>
  </si>
  <si>
    <t>Condition 9:</t>
  </si>
  <si>
    <r>
      <t>Δn</t>
    </r>
    <r>
      <rPr>
        <sz val="8"/>
        <color theme="1"/>
        <rFont val="Arial"/>
        <family val="2"/>
      </rPr>
      <t>1a</t>
    </r>
  </si>
  <si>
    <t>Kg</t>
  </si>
  <si>
    <t>CC VI</t>
  </si>
  <si>
    <t>Extrapolation</t>
  </si>
  <si>
    <t>CL IX</t>
  </si>
  <si>
    <t>W</t>
  </si>
  <si>
    <t>lb</t>
  </si>
  <si>
    <t>ACT 3, AIRDESGN1</t>
  </si>
  <si>
    <r>
      <t>Δn</t>
    </r>
    <r>
      <rPr>
        <sz val="8"/>
        <color theme="1"/>
        <rFont val="Arial"/>
        <family val="2"/>
      </rPr>
      <t>1b</t>
    </r>
  </si>
  <si>
    <t>Interpolation</t>
  </si>
  <si>
    <t>Vm</t>
  </si>
  <si>
    <t>CN VI</t>
  </si>
  <si>
    <t>CC IX</t>
  </si>
  <si>
    <t>S</t>
  </si>
  <si>
    <t>ft^2</t>
  </si>
  <si>
    <t>Highest</t>
  </si>
  <si>
    <r>
      <t>C</t>
    </r>
    <r>
      <rPr>
        <sz val="8"/>
        <color theme="1"/>
        <rFont val="Calibri"/>
        <family val="2"/>
        <scheme val="minor"/>
      </rPr>
      <t>N</t>
    </r>
  </si>
  <si>
    <r>
      <t>C</t>
    </r>
    <r>
      <rPr>
        <sz val="8"/>
        <color theme="1"/>
        <rFont val="Calibri"/>
        <family val="2"/>
        <scheme val="minor"/>
      </rPr>
      <t>C</t>
    </r>
  </si>
  <si>
    <t>Vg (1st)</t>
  </si>
  <si>
    <t>n VI</t>
  </si>
  <si>
    <t>Low</t>
  </si>
  <si>
    <t>CN IX</t>
  </si>
  <si>
    <t>W/S</t>
  </si>
  <si>
    <t>lb/ft^2</t>
  </si>
  <si>
    <t>Vg (2nd)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</si>
  <si>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III</t>
    </r>
  </si>
  <si>
    <t>CpIII</t>
  </si>
  <si>
    <t>C.P. VI</t>
  </si>
  <si>
    <t>%</t>
  </si>
  <si>
    <t>Mid</t>
  </si>
  <si>
    <t>nIX</t>
  </si>
  <si>
    <t>W/P</t>
  </si>
  <si>
    <t>lb/hp</t>
  </si>
  <si>
    <t>nI</t>
  </si>
  <si>
    <t>Vg (3rd)</t>
  </si>
  <si>
    <t>Cm VI</t>
  </si>
  <si>
    <t>Upper</t>
  </si>
  <si>
    <t>C.P. IX</t>
  </si>
  <si>
    <t>MAC</t>
  </si>
  <si>
    <t>ft</t>
  </si>
  <si>
    <r>
      <t>q</t>
    </r>
    <r>
      <rPr>
        <sz val="8"/>
        <color theme="1"/>
        <rFont val="Arial"/>
        <family val="2"/>
      </rPr>
      <t>LI</t>
    </r>
  </si>
  <si>
    <t>ΔnIIIa</t>
  </si>
  <si>
    <t>N VI</t>
  </si>
  <si>
    <t>Cm IX</t>
  </si>
  <si>
    <r>
      <t>S</t>
    </r>
    <r>
      <rPr>
        <sz val="8"/>
        <color theme="1"/>
        <rFont val="Calibri"/>
        <family val="2"/>
        <scheme val="minor"/>
      </rPr>
      <t>D</t>
    </r>
  </si>
  <si>
    <t>m^2</t>
  </si>
  <si>
    <t>ACT 9, AIRDESGN1</t>
  </si>
  <si>
    <r>
      <t>C</t>
    </r>
    <r>
      <rPr>
        <sz val="8"/>
        <color theme="1"/>
        <rFont val="Arial"/>
        <family val="2"/>
      </rPr>
      <t>NI</t>
    </r>
  </si>
  <si>
    <t>nIII</t>
  </si>
  <si>
    <t>C VI</t>
  </si>
  <si>
    <t>N IX</t>
  </si>
  <si>
    <r>
      <t>C</t>
    </r>
    <r>
      <rPr>
        <sz val="8"/>
        <color theme="1"/>
        <rFont val="Arial"/>
        <family val="2"/>
      </rPr>
      <t>CI</t>
    </r>
  </si>
  <si>
    <t>qg</t>
  </si>
  <si>
    <t>CmIII</t>
  </si>
  <si>
    <t>MP VI</t>
  </si>
  <si>
    <t>ft-lb</t>
  </si>
  <si>
    <t>C IX</t>
  </si>
  <si>
    <r>
      <t>V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or V</t>
    </r>
    <r>
      <rPr>
        <sz val="8"/>
        <color theme="1"/>
        <rFont val="Calibri"/>
        <family val="2"/>
        <scheme val="minor"/>
      </rPr>
      <t>L</t>
    </r>
  </si>
  <si>
    <t>ACT 11, AIRDESGN1</t>
  </si>
  <si>
    <r>
      <rPr>
        <sz val="8"/>
        <color theme="1"/>
        <rFont val="Arial"/>
        <family val="2"/>
      </rPr>
      <t xml:space="preserve">interpolated </t>
    </r>
    <r>
      <rPr>
        <sz val="9"/>
        <color theme="1"/>
        <rFont val="Arial"/>
        <family val="2"/>
      </rPr>
      <t>C</t>
    </r>
    <r>
      <rPr>
        <sz val="8"/>
        <color theme="1"/>
        <rFont val="Arial"/>
        <family val="2"/>
      </rPr>
      <t>CI</t>
    </r>
    <r>
      <rPr>
        <sz val="9"/>
        <color theme="1"/>
        <rFont val="Arial"/>
        <family val="2"/>
      </rPr>
      <t xml:space="preserve"> </t>
    </r>
  </si>
  <si>
    <t>higher neg</t>
  </si>
  <si>
    <t>CNIII</t>
  </si>
  <si>
    <t>MP IX</t>
  </si>
  <si>
    <r>
      <t>C.P.</t>
    </r>
    <r>
      <rPr>
        <sz val="8"/>
        <color theme="1"/>
        <rFont val="Arial"/>
        <family val="2"/>
      </rPr>
      <t>I</t>
    </r>
  </si>
  <si>
    <t>CC III</t>
  </si>
  <si>
    <t>Condition 7:</t>
  </si>
  <si>
    <r>
      <t xml:space="preserve">CL </t>
    </r>
    <r>
      <rPr>
        <sz val="8"/>
        <color theme="1"/>
        <rFont val="Calibri"/>
        <family val="2"/>
        <scheme val="minor"/>
      </rPr>
      <t>MAX</t>
    </r>
  </si>
  <si>
    <t>ACT 1, AIRDESGN2</t>
  </si>
  <si>
    <r>
      <t>C</t>
    </r>
    <r>
      <rPr>
        <sz val="8"/>
        <color theme="1"/>
        <rFont val="Arial"/>
        <family val="2"/>
      </rPr>
      <t>mI</t>
    </r>
  </si>
  <si>
    <t>C.P. III</t>
  </si>
  <si>
    <t>ΔnVII</t>
  </si>
  <si>
    <t xml:space="preserve">a.c. </t>
  </si>
  <si>
    <t>ACT1, AIRDESGN2</t>
  </si>
  <si>
    <r>
      <t>N</t>
    </r>
    <r>
      <rPr>
        <sz val="8"/>
        <color theme="1"/>
        <rFont val="Arial"/>
        <family val="2"/>
      </rPr>
      <t>I</t>
    </r>
  </si>
  <si>
    <t>Cm III</t>
  </si>
  <si>
    <t>nVII</t>
  </si>
  <si>
    <t xml:space="preserve">conditions are not met nVII &lt; 2 </t>
  </si>
  <si>
    <t>VF</t>
  </si>
  <si>
    <t>ACT 2, AIRDESGN2</t>
  </si>
  <si>
    <t>CI</t>
  </si>
  <si>
    <t>N III</t>
  </si>
  <si>
    <t xml:space="preserve">*use </t>
  </si>
  <si>
    <t>MPI</t>
  </si>
  <si>
    <t>CIII</t>
  </si>
  <si>
    <t>qF</t>
  </si>
  <si>
    <t>MPIII</t>
  </si>
  <si>
    <t>CN VII</t>
  </si>
  <si>
    <t>a</t>
  </si>
  <si>
    <t>/rad</t>
  </si>
  <si>
    <t>CC VII</t>
  </si>
  <si>
    <t>p</t>
  </si>
  <si>
    <t>slug/ft^3</t>
  </si>
  <si>
    <t>Condition 1':</t>
  </si>
  <si>
    <t>Condition 3':</t>
  </si>
  <si>
    <t>C.P. VII</t>
  </si>
  <si>
    <t>nI'</t>
  </si>
  <si>
    <t>Cp</t>
  </si>
  <si>
    <t>nIII'</t>
  </si>
  <si>
    <t>Cm VII</t>
  </si>
  <si>
    <t>CONDITION</t>
  </si>
  <si>
    <t>I</t>
  </si>
  <si>
    <t>I’</t>
  </si>
  <si>
    <t>II</t>
  </si>
  <si>
    <t>III</t>
  </si>
  <si>
    <t>III’</t>
  </si>
  <si>
    <t>CN'</t>
  </si>
  <si>
    <t>q'g</t>
  </si>
  <si>
    <t>N VII</t>
  </si>
  <si>
    <t>V (mph)</t>
  </si>
  <si>
    <t>CCI'</t>
  </si>
  <si>
    <t>CNIII'</t>
  </si>
  <si>
    <t>C VII</t>
  </si>
  <si>
    <t>q (lb/ft^2)</t>
  </si>
  <si>
    <t>C.P. I'</t>
  </si>
  <si>
    <t>V'g</t>
  </si>
  <si>
    <t>MP VII</t>
  </si>
  <si>
    <t>U (ft/s)</t>
  </si>
  <si>
    <t>CmI'</t>
  </si>
  <si>
    <t>CC III'</t>
  </si>
  <si>
    <t>Δn (gust)</t>
  </si>
  <si>
    <t>NI'</t>
  </si>
  <si>
    <t>C.P. III'</t>
  </si>
  <si>
    <t>Condition 6: Extra</t>
  </si>
  <si>
    <t>Δn (maneuver)</t>
  </si>
  <si>
    <t>CI'</t>
  </si>
  <si>
    <t>Cm III'</t>
  </si>
  <si>
    <t>MPI'</t>
  </si>
  <si>
    <t>N III'</t>
  </si>
  <si>
    <r>
      <t>C</t>
    </r>
    <r>
      <rPr>
        <vertAlign val="subscript"/>
        <sz val="10"/>
        <color theme="1"/>
        <rFont val="Calibri"/>
        <family val="2"/>
        <scheme val="minor"/>
      </rPr>
      <t>N</t>
    </r>
  </si>
  <si>
    <t>CIII'</t>
  </si>
  <si>
    <r>
      <t>C</t>
    </r>
    <r>
      <rPr>
        <vertAlign val="subscript"/>
        <sz val="10"/>
        <color theme="1"/>
        <rFont val="Calibri"/>
        <family val="2"/>
        <scheme val="minor"/>
      </rPr>
      <t>C</t>
    </r>
  </si>
  <si>
    <t>Condition 2:</t>
  </si>
  <si>
    <t>FPS</t>
  </si>
  <si>
    <t>MPIII'</t>
  </si>
  <si>
    <t>C.P. (%)</t>
  </si>
  <si>
    <r>
      <t>Δn</t>
    </r>
    <r>
      <rPr>
        <sz val="8"/>
        <color theme="1"/>
        <rFont val="Calibri"/>
        <family val="2"/>
        <scheme val="minor"/>
      </rPr>
      <t>II</t>
    </r>
    <r>
      <rPr>
        <sz val="11"/>
        <color theme="1"/>
        <rFont val="Calibri"/>
        <family val="2"/>
        <scheme val="minor"/>
      </rPr>
      <t>a</t>
    </r>
  </si>
  <si>
    <r>
      <t>C</t>
    </r>
    <r>
      <rPr>
        <vertAlign val="subscript"/>
        <sz val="10"/>
        <color theme="1"/>
        <rFont val="Calibri"/>
        <family val="2"/>
        <scheme val="minor"/>
      </rPr>
      <t>m</t>
    </r>
  </si>
  <si>
    <r>
      <t>n</t>
    </r>
    <r>
      <rPr>
        <sz val="8"/>
        <color theme="1"/>
        <rFont val="Calibri"/>
        <family val="2"/>
        <scheme val="minor"/>
      </rPr>
      <t>II</t>
    </r>
  </si>
  <si>
    <t>Condition 4:</t>
  </si>
  <si>
    <t>Condition 8:</t>
  </si>
  <si>
    <t>-15</t>
  </si>
  <si>
    <t>N (lb)</t>
  </si>
  <si>
    <r>
      <t>C</t>
    </r>
    <r>
      <rPr>
        <sz val="8"/>
        <color theme="1"/>
        <rFont val="Arial"/>
        <family val="2"/>
      </rPr>
      <t>NII</t>
    </r>
  </si>
  <si>
    <t>ΔnIV</t>
  </si>
  <si>
    <t>ΔnVIII</t>
  </si>
  <si>
    <t>C (lb)</t>
  </si>
  <si>
    <r>
      <t>C</t>
    </r>
    <r>
      <rPr>
        <sz val="8"/>
        <color theme="1"/>
        <rFont val="Arial"/>
        <family val="2"/>
      </rPr>
      <t>CII</t>
    </r>
  </si>
  <si>
    <t>nIV</t>
  </si>
  <si>
    <t>nVIII</t>
  </si>
  <si>
    <r>
      <t>M</t>
    </r>
    <r>
      <rPr>
        <vertAlign val="subscript"/>
        <sz val="10"/>
        <color theme="1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 xml:space="preserve"> (ft-lb)</t>
    </r>
  </si>
  <si>
    <t>C.P.II</t>
  </si>
  <si>
    <t>CNIV</t>
  </si>
  <si>
    <t>CN VIII</t>
  </si>
  <si>
    <t>CmII</t>
  </si>
  <si>
    <t>CC IV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</si>
  <si>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IIV</t>
    </r>
  </si>
  <si>
    <t>CpIV</t>
  </si>
  <si>
    <t>CC VIII</t>
  </si>
  <si>
    <t>IV</t>
  </si>
  <si>
    <t>VI</t>
  </si>
  <si>
    <t>VII</t>
  </si>
  <si>
    <t>VIII</t>
  </si>
  <si>
    <t>IX</t>
  </si>
  <si>
    <t>NII</t>
  </si>
  <si>
    <t>CNII</t>
  </si>
  <si>
    <t>CPII</t>
  </si>
  <si>
    <t>C.P. IV</t>
  </si>
  <si>
    <t>C.P. VIII</t>
  </si>
  <si>
    <t>CII</t>
  </si>
  <si>
    <t>Cm IV</t>
  </si>
  <si>
    <t>Cm VIII</t>
  </si>
  <si>
    <t>MPII</t>
  </si>
  <si>
    <t>N IV</t>
  </si>
  <si>
    <t>N VIII</t>
  </si>
  <si>
    <t>C IV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</si>
  <si>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IV</t>
    </r>
  </si>
  <si>
    <t>CmIV</t>
  </si>
  <si>
    <t>C VIII</t>
  </si>
  <si>
    <t>CmII (-)</t>
  </si>
  <si>
    <t>MP IV</t>
  </si>
  <si>
    <t>MP VIII</t>
  </si>
  <si>
    <t>C.P. VIII (-)</t>
  </si>
  <si>
    <t>Condition 5:</t>
  </si>
  <si>
    <t>ΔnVa</t>
  </si>
  <si>
    <t xml:space="preserve">C.P. VIII </t>
  </si>
  <si>
    <t>ΔnVb</t>
  </si>
  <si>
    <t>nV</t>
  </si>
  <si>
    <t>CNV</t>
  </si>
  <si>
    <t>Cm V</t>
  </si>
  <si>
    <t>CC V</t>
  </si>
  <si>
    <t>C.P. V</t>
  </si>
  <si>
    <t>Cm VIII (-)</t>
  </si>
  <si>
    <t>N V</t>
  </si>
  <si>
    <r>
      <t>C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</si>
  <si>
    <t>CMV</t>
  </si>
  <si>
    <t>C V</t>
  </si>
  <si>
    <t>MP V</t>
  </si>
  <si>
    <t xml:space="preserve">Cm. VIII </t>
  </si>
  <si>
    <t xml:space="preserve">EXPLANANTION OF TABLE NO.2 </t>
  </si>
  <si>
    <t xml:space="preserve">EXPLANATION OF TABLE NO. 3 </t>
  </si>
  <si>
    <t>EXPLANATION OF TABLE NO.1</t>
  </si>
  <si>
    <t>Vcmin (mph)</t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</si>
  <si>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</si>
  <si>
    <t xml:space="preserve">Clmax </t>
  </si>
  <si>
    <t xml:space="preserve">neg. n </t>
  </si>
  <si>
    <t xml:space="preserve">V </t>
  </si>
  <si>
    <t xml:space="preserve">(+) n </t>
  </si>
  <si>
    <t xml:space="preserve">(-) n </t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</si>
  <si>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</si>
  <si>
    <r>
      <t>V</t>
    </r>
    <r>
      <rPr>
        <vertAlign val="superscript"/>
        <sz val="11"/>
        <color theme="1"/>
        <rFont val="Calibri"/>
        <family val="2"/>
        <scheme val="minor"/>
      </rPr>
      <t>2</t>
    </r>
  </si>
  <si>
    <t>Vcdes</t>
  </si>
  <si>
    <t>---</t>
  </si>
  <si>
    <t xml:space="preserve">(+)/(-) </t>
  </si>
  <si>
    <t>Vsl</t>
  </si>
  <si>
    <r>
      <t>V</t>
    </r>
    <r>
      <rPr>
        <vertAlign val="subscript"/>
        <sz val="11"/>
        <color theme="1"/>
        <rFont val="Calibri"/>
        <family val="2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</si>
  <si>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scheme val="minor"/>
      </rPr>
      <t>A</t>
    </r>
  </si>
  <si>
    <t xml:space="preserve">mph </t>
  </si>
  <si>
    <r>
      <t>(fps)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</si>
  <si>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lmax</t>
    </r>
  </si>
  <si>
    <r>
      <t>(+) C</t>
    </r>
    <r>
      <rPr>
        <vertAlign val="subscript"/>
        <sz val="11"/>
        <color theme="1"/>
        <rFont val="Calibri"/>
        <family val="2"/>
        <scheme val="minor"/>
      </rPr>
      <t>NA</t>
    </r>
  </si>
  <si>
    <t>Vc</t>
  </si>
  <si>
    <t xml:space="preserve">At, </t>
  </si>
  <si>
    <t xml:space="preserve">VF </t>
  </si>
  <si>
    <t>(+ )n</t>
  </si>
  <si>
    <r>
      <t>( - ) C</t>
    </r>
    <r>
      <rPr>
        <vertAlign val="subscript"/>
        <sz val="11"/>
        <color theme="1"/>
        <rFont val="Calibri"/>
        <family val="2"/>
        <scheme val="minor"/>
      </rPr>
      <t>NA</t>
    </r>
  </si>
  <si>
    <t>( - )n</t>
  </si>
  <si>
    <t>Cl</t>
  </si>
  <si>
    <t>AOA</t>
  </si>
  <si>
    <r>
      <t>AOA</t>
    </r>
    <r>
      <rPr>
        <vertAlign val="subscript"/>
        <sz val="11"/>
        <color theme="1"/>
        <rFont val="Calibri"/>
        <family val="2"/>
        <scheme val="minor"/>
      </rPr>
      <t>o</t>
    </r>
  </si>
  <si>
    <t xml:space="preserve">graph </t>
  </si>
  <si>
    <t>Va</t>
  </si>
  <si>
    <t>per rad</t>
  </si>
  <si>
    <t>At,</t>
  </si>
  <si>
    <t>Vd</t>
  </si>
  <si>
    <t>(-)n</t>
  </si>
  <si>
    <t>Vs</t>
  </si>
  <si>
    <t>Vf</t>
  </si>
  <si>
    <t xml:space="preserve">vsl </t>
  </si>
  <si>
    <t>No</t>
  </si>
  <si>
    <t>Item</t>
  </si>
  <si>
    <t>VL = 138.11 mph</t>
  </si>
  <si>
    <t>VL = 246.36 mph</t>
  </si>
  <si>
    <t>Interpolation No.7 (I)</t>
  </si>
  <si>
    <t>Interpolation No.7 (III)</t>
  </si>
  <si>
    <t>q</t>
  </si>
  <si>
    <t>VMAX or VL</t>
  </si>
  <si>
    <t>q/(W/S)</t>
  </si>
  <si>
    <t>n1</t>
  </si>
  <si>
    <r>
      <t>V</t>
    </r>
    <r>
      <rPr>
        <sz val="8"/>
        <color theme="1"/>
        <rFont val="Calibri"/>
        <family val="2"/>
        <scheme val="minor"/>
      </rPr>
      <t>SF</t>
    </r>
  </si>
  <si>
    <t>CL correspding to CN</t>
  </si>
  <si>
    <r>
      <t>V</t>
    </r>
    <r>
      <rPr>
        <sz val="8"/>
        <color theme="1"/>
        <rFont val="Calibri"/>
        <family val="2"/>
        <scheme val="minor"/>
      </rPr>
      <t>g</t>
    </r>
  </si>
  <si>
    <t>CC correspding to CN</t>
  </si>
  <si>
    <t>nX1</t>
  </si>
  <si>
    <t>a.c.</t>
  </si>
  <si>
    <t>nX4</t>
  </si>
  <si>
    <t>Fpr is assumed "0" for CII &amp; CIV</t>
  </si>
  <si>
    <t>MAC, c (Wing)</t>
  </si>
  <si>
    <t>ACT 2, AIRDESGN1</t>
  </si>
  <si>
    <t>Cm</t>
  </si>
  <si>
    <t>m</t>
  </si>
  <si>
    <t>m1</t>
  </si>
  <si>
    <r>
      <t xml:space="preserve"> THPav @ V</t>
    </r>
    <r>
      <rPr>
        <sz val="8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</t>
    </r>
  </si>
  <si>
    <t>hp</t>
  </si>
  <si>
    <t>n3</t>
  </si>
  <si>
    <t>Fpr</t>
  </si>
  <si>
    <t>n2</t>
  </si>
  <si>
    <t>MAC, Horizontal</t>
  </si>
  <si>
    <t>nx2</t>
  </si>
  <si>
    <t>MAC, Vertical</t>
  </si>
  <si>
    <t>T</t>
  </si>
  <si>
    <t>Control Surfaces</t>
  </si>
  <si>
    <t>Cmt</t>
  </si>
  <si>
    <t>A. Balancing Load in Flight</t>
  </si>
  <si>
    <t>ΔCm</t>
  </si>
  <si>
    <t>Pe</t>
  </si>
  <si>
    <t>Wing</t>
  </si>
  <si>
    <t>(20% of MAC from LE)</t>
  </si>
  <si>
    <t>Δm1</t>
  </si>
  <si>
    <t>Ps</t>
  </si>
  <si>
    <t>Horizontal</t>
  </si>
  <si>
    <t>Δn3</t>
  </si>
  <si>
    <t>w</t>
  </si>
  <si>
    <t>ΔT</t>
  </si>
  <si>
    <t>T'</t>
  </si>
  <si>
    <t>I1</t>
  </si>
  <si>
    <t>I2</t>
  </si>
  <si>
    <t>Horizontal Stabiliser Chord</t>
  </si>
  <si>
    <t>I3</t>
  </si>
  <si>
    <t>Cs</t>
  </si>
  <si>
    <t>Condition I: Forward C.G. Position</t>
  </si>
  <si>
    <t>Condition I: Aft C.G. Position</t>
  </si>
  <si>
    <t>x3</t>
  </si>
  <si>
    <t>x2a</t>
  </si>
  <si>
    <t>3w</t>
  </si>
  <si>
    <t>2w</t>
  </si>
  <si>
    <t>x2f</t>
  </si>
  <si>
    <t>h2</t>
  </si>
  <si>
    <t>B. Maneuvering Loads</t>
  </si>
  <si>
    <t>Kp</t>
  </si>
  <si>
    <t>Vp</t>
  </si>
  <si>
    <t>h4</t>
  </si>
  <si>
    <t>qp</t>
  </si>
  <si>
    <t xml:space="preserve">Therefore, use n3 </t>
  </si>
  <si>
    <t>-w</t>
  </si>
  <si>
    <t xml:space="preserve">x3 - x2 </t>
  </si>
  <si>
    <t>+w</t>
  </si>
  <si>
    <t>C. Vertical Surfaces</t>
  </si>
  <si>
    <t>w (maneuvering load)</t>
  </si>
  <si>
    <t>Condition II: Forward C.G. Position</t>
  </si>
  <si>
    <t>Condition II: Aft C.G. Position</t>
  </si>
  <si>
    <t>w (flight gust)</t>
  </si>
  <si>
    <t>Therefore, use n3</t>
  </si>
  <si>
    <t>D. Ailerons</t>
  </si>
  <si>
    <t>Condition III: Forward C.G. Position</t>
  </si>
  <si>
    <t>Condition III: Aft C.G. Position</t>
  </si>
  <si>
    <t>E. Wing Flaps</t>
  </si>
  <si>
    <t>Condition IV: Forward C.G. Position</t>
  </si>
  <si>
    <t>Condition IV: Aft C.G. Position</t>
  </si>
  <si>
    <t>F. Effect of Horizontal Ground Gust</t>
  </si>
  <si>
    <t>For elevator</t>
  </si>
  <si>
    <t>w,ave</t>
  </si>
  <si>
    <t>w,max</t>
  </si>
  <si>
    <t>For rudder</t>
  </si>
  <si>
    <t>Taken From</t>
  </si>
  <si>
    <t>A</t>
  </si>
  <si>
    <t>B</t>
  </si>
  <si>
    <t>C</t>
  </si>
  <si>
    <t>D</t>
  </si>
  <si>
    <t>E</t>
  </si>
  <si>
    <t>F</t>
  </si>
  <si>
    <t>G</t>
  </si>
  <si>
    <t>H</t>
  </si>
  <si>
    <t>kg</t>
  </si>
  <si>
    <t>Strip no.</t>
  </si>
  <si>
    <t>c</t>
  </si>
  <si>
    <t>b</t>
  </si>
  <si>
    <t>CND</t>
  </si>
  <si>
    <t>Rb</t>
  </si>
  <si>
    <t>N</t>
  </si>
  <si>
    <t>m2</t>
  </si>
  <si>
    <t>VL</t>
  </si>
  <si>
    <t>mps</t>
  </si>
  <si>
    <t>C mac</t>
  </si>
  <si>
    <t>cr</t>
  </si>
  <si>
    <t>ct</t>
  </si>
  <si>
    <t>Table II</t>
  </si>
  <si>
    <t>ρ</t>
  </si>
  <si>
    <t>kg/m^3</t>
  </si>
  <si>
    <t>Strip No.1</t>
  </si>
  <si>
    <t>Y</t>
  </si>
  <si>
    <t>ΔY</t>
  </si>
  <si>
    <t>cΔY</t>
  </si>
  <si>
    <t>RbcΔY</t>
  </si>
  <si>
    <t>YRbcΔY</t>
  </si>
  <si>
    <t>Xac</t>
  </si>
  <si>
    <t>XacRbcΔY</t>
  </si>
  <si>
    <t>Zac</t>
  </si>
  <si>
    <t>ZaccRbcΔY</t>
  </si>
  <si>
    <t>c2ΔY</t>
  </si>
  <si>
    <t>Cmac</t>
  </si>
  <si>
    <t>Cmacc2ΔY</t>
  </si>
  <si>
    <t>m3</t>
  </si>
  <si>
    <t>Cr</t>
  </si>
  <si>
    <t>Ct</t>
  </si>
  <si>
    <t>Σ</t>
  </si>
  <si>
    <t>ȳ</t>
  </si>
  <si>
    <t>x̄</t>
  </si>
  <si>
    <t>z̄</t>
  </si>
  <si>
    <t>Airload, P</t>
  </si>
  <si>
    <t>tw</t>
  </si>
  <si>
    <t>n'</t>
  </si>
  <si>
    <t>qL</t>
  </si>
  <si>
    <t>N/m^2</t>
  </si>
  <si>
    <t>Z/C u</t>
  </si>
  <si>
    <t>Z/C l</t>
  </si>
  <si>
    <t>P</t>
  </si>
  <si>
    <t xml:space="preserve"> m</t>
  </si>
  <si>
    <t>c%</t>
  </si>
  <si>
    <t>Fx-901</t>
  </si>
  <si>
    <t>FS</t>
  </si>
  <si>
    <t>Front Spar</t>
  </si>
  <si>
    <t>RS</t>
  </si>
  <si>
    <t>Rear Spar</t>
  </si>
  <si>
    <t>θ</t>
  </si>
  <si>
    <t>deg</t>
  </si>
  <si>
    <t>PFS</t>
  </si>
  <si>
    <t>PRS</t>
  </si>
  <si>
    <t>For Total Depth of Wing Profile @ 20% MAC</t>
  </si>
  <si>
    <t>For Total Depth of Wing Profile @ 75% MAC</t>
  </si>
  <si>
    <t>h FS</t>
  </si>
  <si>
    <t>N/m</t>
  </si>
  <si>
    <t>n, max load factor</t>
  </si>
  <si>
    <t>h RS</t>
  </si>
  <si>
    <t>Bending Moment of Wing Root</t>
  </si>
  <si>
    <t>Table 1 (Front Spar)</t>
  </si>
  <si>
    <t>Table 2 (Rear Spar)</t>
  </si>
  <si>
    <t>dR FS</t>
  </si>
  <si>
    <t>dR RS</t>
  </si>
  <si>
    <t>dS FS</t>
  </si>
  <si>
    <t>dS RS</t>
  </si>
  <si>
    <t xml:space="preserve">Strip No. </t>
  </si>
  <si>
    <t>X</t>
  </si>
  <si>
    <t>M</t>
  </si>
  <si>
    <t>N-m</t>
  </si>
  <si>
    <t>Span Material</t>
  </si>
  <si>
    <t>Section Modulus, Z</t>
  </si>
  <si>
    <t>Aluminum Allow 7075-T6</t>
  </si>
  <si>
    <t>MFS</t>
  </si>
  <si>
    <t>Nm</t>
  </si>
  <si>
    <t>MRS</t>
  </si>
  <si>
    <t>a-a</t>
  </si>
  <si>
    <t>Thickness, t</t>
  </si>
  <si>
    <t>in</t>
  </si>
  <si>
    <t>ZFS</t>
  </si>
  <si>
    <t>ZRS</t>
  </si>
  <si>
    <t>b-b</t>
  </si>
  <si>
    <t>c-c</t>
  </si>
  <si>
    <t>Tensile Stress, Fty</t>
  </si>
  <si>
    <t>psi</t>
  </si>
  <si>
    <t>Area of the Flange of the Front Spar</t>
  </si>
  <si>
    <t>d-d</t>
  </si>
  <si>
    <t>Pa</t>
  </si>
  <si>
    <t>Y FS</t>
  </si>
  <si>
    <t>Y RS</t>
  </si>
  <si>
    <t>e-e</t>
  </si>
  <si>
    <t>Compressive Stress, Fcy</t>
  </si>
  <si>
    <t>Af FS</t>
  </si>
  <si>
    <t>Af RS</t>
  </si>
  <si>
    <t>f-f</t>
  </si>
  <si>
    <t>g-g</t>
  </si>
  <si>
    <t>Form</t>
  </si>
  <si>
    <t>Extruded "I" Section Shape</t>
  </si>
  <si>
    <t>Width of the Flange of the Front Spar</t>
  </si>
  <si>
    <t>W FS</t>
  </si>
  <si>
    <t>W RS</t>
  </si>
  <si>
    <t>i-i</t>
  </si>
  <si>
    <t>Moment of Inertia</t>
  </si>
  <si>
    <t>I FS</t>
  </si>
  <si>
    <t>m4</t>
  </si>
  <si>
    <t>I RS</t>
  </si>
  <si>
    <t>Condition I: Level Landing with Inclined Reactions</t>
  </si>
  <si>
    <t>Condition II: Level Landing with Nose Wheel Just Clear of Ground</t>
  </si>
  <si>
    <t>Condition III: Tail Down Landing</t>
  </si>
  <si>
    <t>Basic Landing Conditions (Nose Wheel Type)</t>
  </si>
  <si>
    <t xml:space="preserve">A. </t>
  </si>
  <si>
    <t>Vertical Component</t>
  </si>
  <si>
    <t>nj</t>
  </si>
  <si>
    <t>VTL @ C.G</t>
  </si>
  <si>
    <t>h</t>
  </si>
  <si>
    <t>B.</t>
  </si>
  <si>
    <t>Fore and Aft Component @ C.G. = KnWL</t>
  </si>
  <si>
    <t>WL</t>
  </si>
  <si>
    <t>ACT 7, AIRDESGN2</t>
  </si>
  <si>
    <t>L</t>
  </si>
  <si>
    <t>FAC @C.G</t>
  </si>
  <si>
    <t>C.</t>
  </si>
  <si>
    <t>Lateral Component on either Direction @ C.G.</t>
  </si>
  <si>
    <t>Vdes</t>
  </si>
  <si>
    <t>We</t>
  </si>
  <si>
    <t>lbb</t>
  </si>
  <si>
    <t>LC @ C.G.</t>
  </si>
  <si>
    <t>D.</t>
  </si>
  <si>
    <t>Shock Abbsorber Extension (Hdraulic)</t>
  </si>
  <si>
    <t>Ground Reaction Load Factor</t>
  </si>
  <si>
    <t>E.</t>
  </si>
  <si>
    <t>Tire Deflection (Static)</t>
  </si>
  <si>
    <t>GRLF</t>
  </si>
  <si>
    <t>nt</t>
  </si>
  <si>
    <t>St</t>
  </si>
  <si>
    <t>d (TOTAL DEFLECTION)</t>
  </si>
  <si>
    <t>TireDef Static</t>
  </si>
  <si>
    <t xml:space="preserve">F. </t>
  </si>
  <si>
    <t>Main Wheel Loads (Both Wheels)</t>
  </si>
  <si>
    <t>Gross Weight C.G.</t>
  </si>
  <si>
    <t>Condition I&amp;II</t>
  </si>
  <si>
    <t>Vr</t>
  </si>
  <si>
    <t>Aft C.G.</t>
  </si>
  <si>
    <t>Condition III</t>
  </si>
  <si>
    <t>Dr</t>
  </si>
  <si>
    <t>a'</t>
  </si>
  <si>
    <t xml:space="preserve">G. </t>
  </si>
  <si>
    <t>Nose Wheel Loads</t>
  </si>
  <si>
    <t>b'</t>
  </si>
  <si>
    <t>Nose Wheel</t>
  </si>
  <si>
    <t>Main Wheel (Condition II)</t>
  </si>
  <si>
    <t>d'</t>
  </si>
  <si>
    <t>Df</t>
  </si>
  <si>
    <t>β</t>
  </si>
  <si>
    <t>cosθ</t>
  </si>
  <si>
    <t>Fr</t>
  </si>
  <si>
    <t>Tail Down Landing</t>
  </si>
  <si>
    <t>Ff</t>
  </si>
  <si>
    <t>F(checking)</t>
  </si>
  <si>
    <t>(F = Ff + 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</si>
</sst>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0.000E+00"/>
    <numFmt numFmtId="167" formatCode="0.000000"/>
    <numFmt numFmtId="168" formatCode="0.0000000"/>
    <numFmt numFmtId="169" formatCode="0.00000000"/>
    <numFmt numFmtId="170" formatCode="0.00000"/>
    <numFmt numFmtId="171" formatCode="0.00.E+00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vertAlign val="subscript"/>
      <sz val="10"/>
      <color theme="1"/>
      <name val="Calibri"/>
      <family val="2"/>
      <scheme val="minor"/>
    </font>
    <font>
      <sz val="11"/>
      <color theme="1"/>
      <name val="Calibri (Body)"/>
    </font>
    <font>
      <sz val="11"/>
      <color theme="9" tint="0.79998168889431442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1"/>
      <color rgb="FF202124"/>
      <name val="Arial"/>
      <family val="2"/>
    </font>
    <font>
      <sz val="11"/>
      <color theme="1"/>
      <name val="Aptos"/>
    </font>
    <font>
      <sz val="10"/>
      <color theme="1"/>
      <name val="Aptos"/>
    </font>
    <font>
      <sz val="9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1">
    <xf numFmtId="0" fontId="0" fillId="0" borderId="0" xfId="0"/>
    <xf numFmtId="0" fontId="0" fillId="0" borderId="2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0" fontId="1" fillId="0" borderId="1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5" fillId="0" borderId="2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65" fontId="0" fillId="0" borderId="0" xfId="0" applyNumberFormat="1"/>
    <xf numFmtId="0" fontId="0" fillId="0" borderId="8" xfId="0" applyBorder="1"/>
    <xf numFmtId="2" fontId="0" fillId="3" borderId="8" xfId="0" applyNumberFormat="1" applyFill="1" applyBorder="1" applyAlignment="1">
      <alignment horizontal="center" vertical="center"/>
    </xf>
    <xf numFmtId="165" fontId="0" fillId="7" borderId="22" xfId="0" applyNumberFormat="1" applyFill="1" applyBorder="1" applyAlignment="1">
      <alignment horizontal="right" vertical="center"/>
    </xf>
    <xf numFmtId="167" fontId="0" fillId="7" borderId="23" xfId="0" applyNumberFormat="1" applyFill="1" applyBorder="1" applyAlignment="1">
      <alignment horizontal="left" vertical="center"/>
    </xf>
    <xf numFmtId="165" fontId="0" fillId="0" borderId="8" xfId="0" applyNumberFormat="1" applyBorder="1" applyAlignment="1">
      <alignment horizontal="right" vertical="center"/>
    </xf>
    <xf numFmtId="0" fontId="0" fillId="0" borderId="22" xfId="0" applyBorder="1" applyAlignment="1">
      <alignment horizontal="center"/>
    </xf>
    <xf numFmtId="2" fontId="0" fillId="7" borderId="5" xfId="0" applyNumberFormat="1" applyFill="1" applyBorder="1" applyAlignment="1">
      <alignment horizontal="center" vertical="center"/>
    </xf>
    <xf numFmtId="165" fontId="0" fillId="0" borderId="8" xfId="0" applyNumberFormat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8" borderId="8" xfId="0" applyFill="1" applyBorder="1"/>
    <xf numFmtId="0" fontId="2" fillId="0" borderId="8" xfId="0" applyFont="1" applyBorder="1" applyAlignment="1">
      <alignment horizontal="center" vertical="center"/>
    </xf>
    <xf numFmtId="0" fontId="0" fillId="9" borderId="0" xfId="0" applyFill="1"/>
    <xf numFmtId="2" fontId="0" fillId="0" borderId="8" xfId="0" applyNumberFormat="1" applyBorder="1" applyAlignment="1">
      <alignment horizontal="center" vertical="center"/>
    </xf>
    <xf numFmtId="2" fontId="0" fillId="0" borderId="8" xfId="0" quotePrefix="1" applyNumberFormat="1" applyBorder="1" applyAlignment="1">
      <alignment horizontal="center"/>
    </xf>
    <xf numFmtId="2" fontId="0" fillId="0" borderId="8" xfId="0" quotePrefix="1" applyNumberFormat="1" applyBorder="1" applyAlignment="1">
      <alignment horizontal="center" vertical="center"/>
    </xf>
    <xf numFmtId="164" fontId="0" fillId="0" borderId="0" xfId="0" applyNumberFormat="1"/>
    <xf numFmtId="2" fontId="0" fillId="8" borderId="8" xfId="0" applyNumberFormat="1" applyFill="1" applyBorder="1"/>
    <xf numFmtId="2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2" fontId="0" fillId="0" borderId="31" xfId="0" applyNumberFormat="1" applyBorder="1" applyAlignment="1">
      <alignment horizontal="center" vertical="center" wrapText="1"/>
    </xf>
    <xf numFmtId="2" fontId="0" fillId="3" borderId="26" xfId="0" applyNumberFormat="1" applyFill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5" xfId="0" applyBorder="1"/>
    <xf numFmtId="2" fontId="0" fillId="0" borderId="8" xfId="0" applyNumberFormat="1" applyBorder="1"/>
    <xf numFmtId="164" fontId="0" fillId="0" borderId="8" xfId="0" applyNumberFormat="1" applyBorder="1"/>
    <xf numFmtId="170" fontId="0" fillId="0" borderId="8" xfId="0" applyNumberFormat="1" applyBorder="1"/>
    <xf numFmtId="0" fontId="0" fillId="11" borderId="4" xfId="0" applyFill="1" applyBorder="1"/>
    <xf numFmtId="0" fontId="0" fillId="11" borderId="7" xfId="0" applyFill="1" applyBorder="1"/>
    <xf numFmtId="0" fontId="9" fillId="11" borderId="10" xfId="0" applyFon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0" fillId="0" borderId="32" xfId="0" applyBorder="1"/>
    <xf numFmtId="0" fontId="0" fillId="0" borderId="28" xfId="0" applyBorder="1"/>
    <xf numFmtId="0" fontId="0" fillId="0" borderId="34" xfId="0" applyBorder="1"/>
    <xf numFmtId="170" fontId="0" fillId="0" borderId="0" xfId="0" applyNumberFormat="1"/>
    <xf numFmtId="0" fontId="0" fillId="0" borderId="37" xfId="0" applyBorder="1"/>
    <xf numFmtId="0" fontId="0" fillId="0" borderId="35" xfId="0" applyBorder="1"/>
    <xf numFmtId="164" fontId="14" fillId="0" borderId="18" xfId="0" applyNumberFormat="1" applyFont="1" applyBorder="1" applyAlignment="1">
      <alignment horizontal="center" vertical="center" wrapText="1"/>
    </xf>
    <xf numFmtId="164" fontId="14" fillId="0" borderId="37" xfId="0" applyNumberFormat="1" applyFont="1" applyBorder="1" applyAlignment="1">
      <alignment horizontal="center" vertical="center" wrapText="1"/>
    </xf>
    <xf numFmtId="164" fontId="0" fillId="0" borderId="36" xfId="0" applyNumberFormat="1" applyBorder="1"/>
    <xf numFmtId="164" fontId="14" fillId="0" borderId="0" xfId="0" applyNumberFormat="1" applyFont="1" applyAlignment="1">
      <alignment horizontal="center" vertical="center" wrapText="1"/>
    </xf>
    <xf numFmtId="164" fontId="0" fillId="3" borderId="8" xfId="0" applyNumberFormat="1" applyFill="1" applyBorder="1"/>
    <xf numFmtId="0" fontId="0" fillId="3" borderId="8" xfId="0" applyFill="1" applyBorder="1"/>
    <xf numFmtId="2" fontId="0" fillId="0" borderId="5" xfId="0" applyNumberFormat="1" applyBorder="1"/>
    <xf numFmtId="0" fontId="0" fillId="0" borderId="39" xfId="0" applyBorder="1"/>
    <xf numFmtId="0" fontId="0" fillId="0" borderId="40" xfId="0" applyBorder="1"/>
    <xf numFmtId="0" fontId="0" fillId="0" borderId="9" xfId="0" applyBorder="1"/>
    <xf numFmtId="0" fontId="0" fillId="3" borderId="9" xfId="0" applyFill="1" applyBorder="1"/>
    <xf numFmtId="0" fontId="14" fillId="0" borderId="34" xfId="0" applyFont="1" applyBorder="1" applyAlignment="1">
      <alignment horizontal="center" vertical="center" wrapText="1"/>
    </xf>
    <xf numFmtId="164" fontId="14" fillId="0" borderId="36" xfId="0" applyNumberFormat="1" applyFont="1" applyBorder="1" applyAlignment="1">
      <alignment horizontal="center" vertical="center" wrapText="1"/>
    </xf>
    <xf numFmtId="0" fontId="10" fillId="11" borderId="7" xfId="0" applyFont="1" applyFill="1" applyBorder="1"/>
    <xf numFmtId="0" fontId="0" fillId="11" borderId="10" xfId="0" applyFill="1" applyBorder="1"/>
    <xf numFmtId="164" fontId="0" fillId="0" borderId="11" xfId="0" applyNumberFormat="1" applyBorder="1"/>
    <xf numFmtId="2" fontId="0" fillId="0" borderId="11" xfId="0" applyNumberFormat="1" applyBorder="1"/>
    <xf numFmtId="165" fontId="14" fillId="0" borderId="30" xfId="0" applyNumberFormat="1" applyFont="1" applyBorder="1" applyAlignment="1">
      <alignment horizontal="center" vertical="center" wrapText="1"/>
    </xf>
    <xf numFmtId="2" fontId="0" fillId="3" borderId="9" xfId="0" applyNumberFormat="1" applyFill="1" applyBorder="1"/>
    <xf numFmtId="0" fontId="0" fillId="0" borderId="22" xfId="0" applyBorder="1"/>
    <xf numFmtId="0" fontId="0" fillId="0" borderId="6" xfId="0" applyBorder="1"/>
    <xf numFmtId="0" fontId="0" fillId="0" borderId="13" xfId="0" applyBorder="1"/>
    <xf numFmtId="0" fontId="0" fillId="0" borderId="41" xfId="0" applyBorder="1"/>
    <xf numFmtId="170" fontId="0" fillId="3" borderId="8" xfId="0" applyNumberFormat="1" applyFill="1" applyBorder="1"/>
    <xf numFmtId="0" fontId="0" fillId="0" borderId="42" xfId="0" applyBorder="1"/>
    <xf numFmtId="2" fontId="0" fillId="0" borderId="9" xfId="0" applyNumberFormat="1" applyBorder="1"/>
    <xf numFmtId="170" fontId="0" fillId="0" borderId="9" xfId="0" applyNumberFormat="1" applyBorder="1"/>
    <xf numFmtId="164" fontId="0" fillId="0" borderId="23" xfId="0" applyNumberFormat="1" applyBorder="1"/>
    <xf numFmtId="165" fontId="0" fillId="3" borderId="9" xfId="0" applyNumberFormat="1" applyFill="1" applyBorder="1"/>
    <xf numFmtId="164" fontId="0" fillId="3" borderId="9" xfId="0" applyNumberFormat="1" applyFill="1" applyBorder="1"/>
    <xf numFmtId="170" fontId="0" fillId="3" borderId="9" xfId="0" applyNumberFormat="1" applyFill="1" applyBorder="1"/>
    <xf numFmtId="0" fontId="15" fillId="12" borderId="7" xfId="0" applyFont="1" applyFill="1" applyBorder="1"/>
    <xf numFmtId="2" fontId="14" fillId="0" borderId="37" xfId="0" applyNumberFormat="1" applyFont="1" applyBorder="1" applyAlignment="1">
      <alignment horizontal="center" vertical="center" wrapText="1"/>
    </xf>
    <xf numFmtId="170" fontId="14" fillId="0" borderId="37" xfId="0" applyNumberFormat="1" applyFont="1" applyBorder="1" applyAlignment="1">
      <alignment horizontal="center" vertical="center" wrapText="1"/>
    </xf>
    <xf numFmtId="170" fontId="0" fillId="3" borderId="9" xfId="0" applyNumberFormat="1" applyFill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2" fontId="0" fillId="3" borderId="0" xfId="0" applyNumberFormat="1" applyFill="1"/>
    <xf numFmtId="170" fontId="0" fillId="13" borderId="8" xfId="0" applyNumberFormat="1" applyFill="1" applyBorder="1"/>
    <xf numFmtId="2" fontId="0" fillId="3" borderId="8" xfId="0" applyNumberFormat="1" applyFill="1" applyBorder="1"/>
    <xf numFmtId="2" fontId="14" fillId="0" borderId="8" xfId="0" applyNumberFormat="1" applyFont="1" applyBorder="1" applyAlignment="1">
      <alignment horizontal="right" wrapText="1"/>
    </xf>
    <xf numFmtId="2" fontId="0" fillId="3" borderId="8" xfId="0" applyNumberFormat="1" applyFill="1" applyBorder="1" applyAlignment="1">
      <alignment horizontal="right"/>
    </xf>
    <xf numFmtId="165" fontId="0" fillId="3" borderId="8" xfId="0" applyNumberFormat="1" applyFill="1" applyBorder="1"/>
    <xf numFmtId="2" fontId="0" fillId="0" borderId="36" xfId="0" applyNumberFormat="1" applyBorder="1"/>
    <xf numFmtId="165" fontId="0" fillId="0" borderId="11" xfId="0" applyNumberFormat="1" applyBorder="1"/>
    <xf numFmtId="0" fontId="10" fillId="11" borderId="4" xfId="0" applyFont="1" applyFill="1" applyBorder="1"/>
    <xf numFmtId="170" fontId="0" fillId="0" borderId="12" xfId="0" applyNumberFormat="1" applyBorder="1"/>
    <xf numFmtId="0" fontId="0" fillId="0" borderId="26" xfId="0" applyBorder="1"/>
    <xf numFmtId="164" fontId="0" fillId="0" borderId="26" xfId="0" applyNumberFormat="1" applyBorder="1"/>
    <xf numFmtId="0" fontId="0" fillId="14" borderId="9" xfId="0" applyFill="1" applyBorder="1"/>
    <xf numFmtId="0" fontId="0" fillId="0" borderId="43" xfId="0" applyBorder="1"/>
    <xf numFmtId="170" fontId="0" fillId="13" borderId="9" xfId="0" applyNumberFormat="1" applyFill="1" applyBorder="1"/>
    <xf numFmtId="170" fontId="0" fillId="0" borderId="9" xfId="0" applyNumberFormat="1" applyBorder="1" applyAlignment="1">
      <alignment horizontal="right"/>
    </xf>
    <xf numFmtId="170" fontId="14" fillId="0" borderId="12" xfId="0" applyNumberFormat="1" applyFont="1" applyBorder="1" applyAlignment="1">
      <alignment horizontal="right" vertical="center" wrapText="1"/>
    </xf>
    <xf numFmtId="165" fontId="0" fillId="0" borderId="9" xfId="0" applyNumberFormat="1" applyBorder="1"/>
    <xf numFmtId="164" fontId="0" fillId="0" borderId="9" xfId="0" applyNumberFormat="1" applyBorder="1"/>
    <xf numFmtId="0" fontId="14" fillId="0" borderId="36" xfId="0" applyFont="1" applyBorder="1" applyAlignment="1">
      <alignment horizontal="center" vertical="center" wrapText="1"/>
    </xf>
    <xf numFmtId="0" fontId="0" fillId="0" borderId="7" xfId="0" applyBorder="1"/>
    <xf numFmtId="0" fontId="14" fillId="0" borderId="30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4" fillId="0" borderId="8" xfId="0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" fontId="14" fillId="0" borderId="11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14" fillId="0" borderId="8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165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2" fontId="14" fillId="0" borderId="9" xfId="0" applyNumberFormat="1" applyFont="1" applyBorder="1" applyAlignment="1">
      <alignment horizontal="center" vertical="center" wrapText="1"/>
    </xf>
    <xf numFmtId="164" fontId="14" fillId="0" borderId="9" xfId="0" applyNumberFormat="1" applyFont="1" applyBorder="1" applyAlignment="1">
      <alignment horizontal="center" vertical="center" wrapText="1"/>
    </xf>
    <xf numFmtId="170" fontId="14" fillId="0" borderId="9" xfId="0" applyNumberFormat="1" applyFon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65" fontId="14" fillId="0" borderId="9" xfId="0" applyNumberFormat="1" applyFon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" fontId="14" fillId="0" borderId="9" xfId="0" applyNumberFormat="1" applyFont="1" applyBorder="1" applyAlignment="1">
      <alignment horizontal="center" vertical="center" wrapText="1"/>
    </xf>
    <xf numFmtId="170" fontId="0" fillId="0" borderId="8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3" fontId="14" fillId="0" borderId="9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165" fontId="0" fillId="0" borderId="5" xfId="0" applyNumberFormat="1" applyBorder="1"/>
    <xf numFmtId="0" fontId="0" fillId="11" borderId="46" xfId="0" applyFill="1" applyBorder="1" applyAlignment="1">
      <alignment vertical="center"/>
    </xf>
    <xf numFmtId="2" fontId="0" fillId="0" borderId="11" xfId="0" applyNumberFormat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 shrinkToFit="1"/>
    </xf>
    <xf numFmtId="164" fontId="0" fillId="0" borderId="8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" fontId="0" fillId="14" borderId="8" xfId="0" applyNumberFormat="1" applyFill="1" applyBorder="1"/>
    <xf numFmtId="170" fontId="0" fillId="14" borderId="8" xfId="0" applyNumberFormat="1" applyFill="1" applyBorder="1"/>
    <xf numFmtId="0" fontId="0" fillId="14" borderId="34" xfId="0" applyFill="1" applyBorder="1"/>
    <xf numFmtId="164" fontId="0" fillId="0" borderId="33" xfId="0" applyNumberFormat="1" applyBorder="1"/>
    <xf numFmtId="164" fontId="0" fillId="0" borderId="35" xfId="0" applyNumberFormat="1" applyBorder="1"/>
    <xf numFmtId="0" fontId="0" fillId="0" borderId="49" xfId="0" applyBorder="1"/>
    <xf numFmtId="0" fontId="0" fillId="0" borderId="8" xfId="0" quotePrefix="1" applyBorder="1"/>
    <xf numFmtId="0" fontId="0" fillId="0" borderId="23" xfId="0" applyBorder="1"/>
    <xf numFmtId="0" fontId="10" fillId="11" borderId="8" xfId="0" applyFont="1" applyFill="1" applyBorder="1"/>
    <xf numFmtId="0" fontId="0" fillId="11" borderId="8" xfId="0" applyFill="1" applyBorder="1"/>
    <xf numFmtId="0" fontId="10" fillId="11" borderId="8" xfId="0" applyFont="1" applyFill="1" applyBorder="1" applyAlignment="1">
      <alignment wrapText="1"/>
    </xf>
    <xf numFmtId="0" fontId="0" fillId="11" borderId="7" xfId="0" applyFill="1" applyBorder="1" applyAlignment="1">
      <alignment vertical="center"/>
    </xf>
    <xf numFmtId="0" fontId="0" fillId="11" borderId="7" xfId="0" applyFill="1" applyBorder="1" applyAlignment="1">
      <alignment vertical="center" wrapText="1"/>
    </xf>
    <xf numFmtId="0" fontId="0" fillId="11" borderId="10" xfId="0" applyFill="1" applyBorder="1" applyAlignment="1">
      <alignment vertical="center" wrapText="1"/>
    </xf>
    <xf numFmtId="0" fontId="10" fillId="0" borderId="51" xfId="0" applyFont="1" applyBorder="1" applyAlignment="1">
      <alignment horizontal="center" vertical="center"/>
    </xf>
    <xf numFmtId="165" fontId="0" fillId="0" borderId="36" xfId="0" applyNumberFormat="1" applyBorder="1"/>
    <xf numFmtId="0" fontId="0" fillId="2" borderId="8" xfId="0" applyFill="1" applyBorder="1"/>
    <xf numFmtId="0" fontId="0" fillId="13" borderId="7" xfId="0" applyFill="1" applyBorder="1"/>
    <xf numFmtId="0" fontId="0" fillId="2" borderId="10" xfId="0" applyFill="1" applyBorder="1"/>
    <xf numFmtId="0" fontId="0" fillId="2" borderId="33" xfId="0" applyFill="1" applyBorder="1"/>
    <xf numFmtId="165" fontId="0" fillId="17" borderId="8" xfId="0" applyNumberFormat="1" applyFill="1" applyBorder="1"/>
    <xf numFmtId="0" fontId="0" fillId="2" borderId="7" xfId="0" applyFill="1" applyBorder="1"/>
    <xf numFmtId="165" fontId="0" fillId="17" borderId="11" xfId="0" applyNumberFormat="1" applyFill="1" applyBorder="1"/>
    <xf numFmtId="165" fontId="0" fillId="17" borderId="9" xfId="0" applyNumberFormat="1" applyFill="1" applyBorder="1"/>
    <xf numFmtId="0" fontId="1" fillId="0" borderId="0" xfId="0" applyFont="1" applyAlignment="1">
      <alignment vertical="center"/>
    </xf>
    <xf numFmtId="0" fontId="0" fillId="2" borderId="7" xfId="0" quotePrefix="1" applyFill="1" applyBorder="1"/>
    <xf numFmtId="0" fontId="0" fillId="2" borderId="7" xfId="0" applyFill="1" applyBorder="1" applyAlignment="1">
      <alignment wrapText="1"/>
    </xf>
    <xf numFmtId="0" fontId="0" fillId="0" borderId="20" xfId="0" applyBorder="1"/>
    <xf numFmtId="0" fontId="0" fillId="0" borderId="48" xfId="0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3" borderId="7" xfId="0" quotePrefix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quotePrefix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2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/>
    <xf numFmtId="2" fontId="19" fillId="0" borderId="8" xfId="0" applyNumberFormat="1" applyFont="1" applyBorder="1" applyAlignment="1">
      <alignment horizontal="center"/>
    </xf>
    <xf numFmtId="167" fontId="19" fillId="0" borderId="8" xfId="0" applyNumberFormat="1" applyFont="1" applyBorder="1" applyAlignment="1">
      <alignment horizontal="center" vertical="center"/>
    </xf>
    <xf numFmtId="2" fontId="19" fillId="0" borderId="8" xfId="0" applyNumberFormat="1" applyFont="1" applyBorder="1"/>
    <xf numFmtId="0" fontId="19" fillId="0" borderId="9" xfId="0" applyFont="1" applyBorder="1"/>
    <xf numFmtId="0" fontId="19" fillId="0" borderId="11" xfId="0" applyFont="1" applyBorder="1"/>
    <xf numFmtId="0" fontId="19" fillId="0" borderId="12" xfId="0" applyFont="1" applyBorder="1"/>
    <xf numFmtId="2" fontId="19" fillId="0" borderId="5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26" xfId="0" applyNumberFormat="1" applyBorder="1"/>
    <xf numFmtId="0" fontId="0" fillId="11" borderId="29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23" borderId="29" xfId="0" applyNumberFormat="1" applyFill="1" applyBorder="1"/>
    <xf numFmtId="170" fontId="0" fillId="3" borderId="8" xfId="0" applyNumberFormat="1" applyFill="1" applyBorder="1" applyAlignment="1">
      <alignment horizontal="center" vertical="center"/>
    </xf>
    <xf numFmtId="170" fontId="0" fillId="0" borderId="11" xfId="0" applyNumberFormat="1" applyBorder="1"/>
    <xf numFmtId="165" fontId="0" fillId="0" borderId="43" xfId="0" applyNumberFormat="1" applyBorder="1"/>
    <xf numFmtId="165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4" borderId="38" xfId="0" applyFont="1" applyFill="1" applyBorder="1" applyAlignment="1">
      <alignment horizontal="center" vertical="center"/>
    </xf>
    <xf numFmtId="0" fontId="1" fillId="24" borderId="7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center" vertical="center"/>
    </xf>
    <xf numFmtId="0" fontId="1" fillId="2" borderId="1" xfId="0" applyFont="1" applyFill="1" applyBorder="1"/>
    <xf numFmtId="170" fontId="0" fillId="0" borderId="3" xfId="0" applyNumberFormat="1" applyBorder="1"/>
    <xf numFmtId="164" fontId="0" fillId="0" borderId="5" xfId="0" applyNumberFormat="1" applyBorder="1" applyAlignment="1">
      <alignment horizontal="center" vertical="center"/>
    </xf>
    <xf numFmtId="168" fontId="0" fillId="0" borderId="8" xfId="0" applyNumberFormat="1" applyBorder="1"/>
    <xf numFmtId="169" fontId="0" fillId="0" borderId="8" xfId="0" applyNumberFormat="1" applyBorder="1"/>
    <xf numFmtId="164" fontId="0" fillId="9" borderId="8" xfId="0" applyNumberFormat="1" applyFill="1" applyBorder="1"/>
    <xf numFmtId="0" fontId="0" fillId="25" borderId="8" xfId="0" applyFill="1" applyBorder="1"/>
    <xf numFmtId="2" fontId="0" fillId="9" borderId="8" xfId="0" applyNumberFormat="1" applyFill="1" applyBorder="1"/>
    <xf numFmtId="165" fontId="0" fillId="9" borderId="8" xfId="0" applyNumberFormat="1" applyFill="1" applyBorder="1"/>
    <xf numFmtId="167" fontId="0" fillId="0" borderId="8" xfId="0" applyNumberFormat="1" applyBorder="1"/>
    <xf numFmtId="1" fontId="0" fillId="9" borderId="8" xfId="0" applyNumberFormat="1" applyFill="1" applyBorder="1"/>
    <xf numFmtId="0" fontId="0" fillId="9" borderId="8" xfId="0" applyFill="1" applyBorder="1"/>
    <xf numFmtId="167" fontId="0" fillId="9" borderId="8" xfId="0" applyNumberFormat="1" applyFill="1" applyBorder="1"/>
    <xf numFmtId="2" fontId="0" fillId="5" borderId="8" xfId="0" applyNumberFormat="1" applyFill="1" applyBorder="1"/>
    <xf numFmtId="165" fontId="0" fillId="0" borderId="11" xfId="0" applyNumberFormat="1" applyBorder="1" applyAlignment="1">
      <alignment horizontal="center"/>
    </xf>
    <xf numFmtId="2" fontId="22" fillId="0" borderId="8" xfId="0" applyNumberFormat="1" applyFont="1" applyBorder="1"/>
    <xf numFmtId="0" fontId="22" fillId="0" borderId="11" xfId="0" applyFont="1" applyBorder="1"/>
    <xf numFmtId="0" fontId="22" fillId="0" borderId="8" xfId="0" applyFont="1" applyBorder="1"/>
    <xf numFmtId="0" fontId="22" fillId="0" borderId="9" xfId="0" applyFont="1" applyBorder="1"/>
    <xf numFmtId="0" fontId="22" fillId="0" borderId="12" xfId="0" applyFont="1" applyBorder="1"/>
    <xf numFmtId="164" fontId="0" fillId="0" borderId="7" xfId="0" applyNumberFormat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22" fillId="0" borderId="11" xfId="0" applyNumberFormat="1" applyFont="1" applyBorder="1"/>
    <xf numFmtId="0" fontId="0" fillId="11" borderId="38" xfId="0" applyFill="1" applyBorder="1"/>
    <xf numFmtId="2" fontId="0" fillId="0" borderId="39" xfId="0" applyNumberFormat="1" applyBorder="1"/>
    <xf numFmtId="165" fontId="0" fillId="0" borderId="39" xfId="0" applyNumberFormat="1" applyBorder="1"/>
    <xf numFmtId="0" fontId="14" fillId="0" borderId="11" xfId="0" applyFont="1" applyBorder="1"/>
    <xf numFmtId="0" fontId="0" fillId="0" borderId="8" xfId="0" applyBorder="1" applyAlignment="1">
      <alignment horizontal="center" shrinkToFit="1"/>
    </xf>
    <xf numFmtId="164" fontId="14" fillId="0" borderId="12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/>
    <xf numFmtId="11" fontId="0" fillId="0" borderId="8" xfId="0" applyNumberFormat="1" applyBorder="1"/>
    <xf numFmtId="171" fontId="0" fillId="0" borderId="8" xfId="0" applyNumberFormat="1" applyBorder="1"/>
    <xf numFmtId="0" fontId="0" fillId="0" borderId="11" xfId="0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26" borderId="7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15" borderId="7" xfId="0" quotePrefix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0" borderId="10" xfId="0" applyBorder="1"/>
    <xf numFmtId="2" fontId="0" fillId="3" borderId="9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17" borderId="8" xfId="0" applyFill="1" applyBorder="1" applyAlignment="1">
      <alignment horizontal="center"/>
    </xf>
    <xf numFmtId="11" fontId="0" fillId="0" borderId="11" xfId="0" applyNumberFormat="1" applyBorder="1"/>
    <xf numFmtId="0" fontId="24" fillId="0" borderId="0" xfId="0" applyFont="1" applyAlignment="1">
      <alignment wrapText="1"/>
    </xf>
    <xf numFmtId="0" fontId="0" fillId="11" borderId="8" xfId="0" applyFill="1" applyBorder="1" applyAlignment="1">
      <alignment wrapText="1"/>
    </xf>
    <xf numFmtId="0" fontId="0" fillId="14" borderId="8" xfId="0" applyFill="1" applyBorder="1"/>
    <xf numFmtId="0" fontId="0" fillId="14" borderId="0" xfId="0" applyFill="1"/>
    <xf numFmtId="0" fontId="0" fillId="14" borderId="41" xfId="0" applyFill="1" applyBorder="1"/>
    <xf numFmtId="0" fontId="1" fillId="14" borderId="8" xfId="0" applyFont="1" applyFill="1" applyBorder="1"/>
    <xf numFmtId="0" fontId="1" fillId="14" borderId="51" xfId="0" applyFont="1" applyFill="1" applyBorder="1"/>
    <xf numFmtId="0" fontId="1" fillId="14" borderId="8" xfId="0" applyFont="1" applyFill="1" applyBorder="1" applyAlignment="1">
      <alignment horizontal="center" vertical="center"/>
    </xf>
    <xf numFmtId="0" fontId="1" fillId="14" borderId="0" xfId="0" applyFont="1" applyFill="1"/>
    <xf numFmtId="0" fontId="1" fillId="14" borderId="8" xfId="0" applyFont="1" applyFill="1" applyBorder="1" applyAlignment="1">
      <alignment horizontal="left" vertical="center"/>
    </xf>
    <xf numFmtId="0" fontId="1" fillId="14" borderId="5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7" borderId="8" xfId="0" applyNumberFormat="1" applyFill="1" applyBorder="1" applyAlignment="1">
      <alignment horizontal="center" vertical="center"/>
    </xf>
    <xf numFmtId="165" fontId="0" fillId="7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2" fontId="0" fillId="7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5" fontId="0" fillId="7" borderId="8" xfId="0" applyNumberForma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2" fontId="0" fillId="7" borderId="22" xfId="0" applyNumberFormat="1" applyFill="1" applyBorder="1" applyAlignment="1">
      <alignment horizontal="center" vertical="center"/>
    </xf>
    <xf numFmtId="2" fontId="0" fillId="7" borderId="2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" fontId="0" fillId="7" borderId="26" xfId="0" applyNumberFormat="1" applyFill="1" applyBorder="1" applyAlignment="1">
      <alignment horizontal="center" vertical="center"/>
    </xf>
    <xf numFmtId="166" fontId="0" fillId="7" borderId="22" xfId="0" applyNumberFormat="1" applyFill="1" applyBorder="1" applyAlignment="1">
      <alignment horizontal="center" vertical="center"/>
    </xf>
    <xf numFmtId="166" fontId="0" fillId="7" borderId="23" xfId="0" applyNumberForma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11" borderId="4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2" fontId="0" fillId="14" borderId="8" xfId="0" applyNumberForma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0" fillId="11" borderId="54" xfId="0" applyFill="1" applyBorder="1" applyAlignment="1">
      <alignment horizontal="center"/>
    </xf>
    <xf numFmtId="0" fontId="0" fillId="11" borderId="55" xfId="0" applyFill="1" applyBorder="1" applyAlignment="1">
      <alignment horizontal="center"/>
    </xf>
    <xf numFmtId="0" fontId="0" fillId="11" borderId="50" xfId="0" applyFill="1" applyBorder="1" applyAlignment="1">
      <alignment horizontal="center"/>
    </xf>
    <xf numFmtId="0" fontId="0" fillId="11" borderId="44" xfId="0" applyFill="1" applyBorder="1" applyAlignment="1">
      <alignment horizontal="center"/>
    </xf>
    <xf numFmtId="0" fontId="0" fillId="11" borderId="52" xfId="0" applyFill="1" applyBorder="1" applyAlignment="1">
      <alignment horizontal="center"/>
    </xf>
    <xf numFmtId="0" fontId="0" fillId="11" borderId="53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16" borderId="44" xfId="0" applyFill="1" applyBorder="1" applyAlignment="1">
      <alignment horizontal="center"/>
    </xf>
    <xf numFmtId="0" fontId="0" fillId="16" borderId="52" xfId="0" applyFill="1" applyBorder="1" applyAlignment="1">
      <alignment horizontal="center"/>
    </xf>
    <xf numFmtId="0" fontId="0" fillId="16" borderId="53" xfId="0" applyFill="1" applyBorder="1" applyAlignment="1">
      <alignment horizontal="center"/>
    </xf>
    <xf numFmtId="0" fontId="17" fillId="18" borderId="38" xfId="0" applyFont="1" applyFill="1" applyBorder="1" applyAlignment="1">
      <alignment horizontal="center"/>
    </xf>
    <xf numFmtId="0" fontId="18" fillId="18" borderId="39" xfId="0" applyFont="1" applyFill="1" applyBorder="1" applyAlignment="1">
      <alignment horizontal="center"/>
    </xf>
    <xf numFmtId="0" fontId="18" fillId="18" borderId="40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11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" fillId="20" borderId="38" xfId="0" applyFont="1" applyFill="1" applyBorder="1" applyAlignment="1">
      <alignment horizontal="center"/>
    </xf>
    <xf numFmtId="0" fontId="1" fillId="20" borderId="39" xfId="0" applyFont="1" applyFill="1" applyBorder="1" applyAlignment="1">
      <alignment horizontal="center"/>
    </xf>
    <xf numFmtId="0" fontId="1" fillId="20" borderId="40" xfId="0" applyFont="1" applyFill="1" applyBorder="1" applyAlignment="1">
      <alignment horizontal="center"/>
    </xf>
    <xf numFmtId="0" fontId="0" fillId="11" borderId="56" xfId="0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" fillId="21" borderId="8" xfId="0" applyFont="1" applyFill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58" xfId="0" applyFont="1" applyFill="1" applyBorder="1" applyAlignment="1">
      <alignment horizontal="center" vertical="center"/>
    </xf>
    <xf numFmtId="0" fontId="1" fillId="10" borderId="61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5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10" borderId="59" xfId="0" applyFont="1" applyFill="1" applyBorder="1" applyAlignment="1">
      <alignment horizontal="center" vertical="center"/>
    </xf>
    <xf numFmtId="0" fontId="1" fillId="10" borderId="60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0" fillId="14" borderId="38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2" fontId="22" fillId="0" borderId="26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11" borderId="46" xfId="0" applyFont="1" applyFill="1" applyBorder="1" applyAlignment="1">
      <alignment horizontal="center" vertical="center" wrapText="1"/>
    </xf>
    <xf numFmtId="0" fontId="22" fillId="11" borderId="62" xfId="0" applyFont="1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shrinkToFit="1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shrinkToFit="1"/>
    </xf>
    <xf numFmtId="0" fontId="22" fillId="11" borderId="10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64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1" fillId="4" borderId="65" xfId="0" applyFont="1" applyFill="1" applyBorder="1" applyAlignment="1">
      <alignment horizontal="center"/>
    </xf>
    <xf numFmtId="0" fontId="1" fillId="15" borderId="44" xfId="0" applyFont="1" applyFill="1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0" fillId="14" borderId="44" xfId="0" applyFill="1" applyBorder="1" applyAlignment="1">
      <alignment horizontal="center" vertical="center" shrinkToFit="1"/>
    </xf>
    <xf numFmtId="0" fontId="0" fillId="14" borderId="52" xfId="0" applyFill="1" applyBorder="1" applyAlignment="1">
      <alignment horizontal="center" vertical="center" shrinkToFit="1"/>
    </xf>
    <xf numFmtId="0" fontId="0" fillId="14" borderId="53" xfId="0" applyFill="1" applyBorder="1" applyAlignment="1">
      <alignment horizontal="center" vertical="center" shrinkToFit="1"/>
    </xf>
    <xf numFmtId="0" fontId="0" fillId="15" borderId="38" xfId="0" applyFill="1" applyBorder="1" applyAlignment="1">
      <alignment horizontal="center" shrinkToFit="1"/>
    </xf>
    <xf numFmtId="0" fontId="0" fillId="15" borderId="39" xfId="0" applyFill="1" applyBorder="1" applyAlignment="1">
      <alignment horizontal="center" shrinkToFit="1"/>
    </xf>
    <xf numFmtId="0" fontId="0" fillId="15" borderId="40" xfId="0" applyFill="1" applyBorder="1" applyAlignment="1">
      <alignment horizontal="center" shrinkToFit="1"/>
    </xf>
    <xf numFmtId="0" fontId="0" fillId="15" borderId="38" xfId="0" applyFill="1" applyBorder="1" applyAlignment="1">
      <alignment horizontal="center"/>
    </xf>
    <xf numFmtId="0" fontId="0" fillId="15" borderId="39" xfId="0" applyFill="1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8" xfId="0" applyFill="1" applyBorder="1" applyAlignment="1">
      <alignment horizontal="center" shrinkToFit="1"/>
    </xf>
    <xf numFmtId="0" fontId="0" fillId="15" borderId="8" xfId="0" applyFill="1" applyBorder="1" applyAlignment="1">
      <alignment horizontal="center" vertical="center" shrinkToFit="1"/>
    </xf>
    <xf numFmtId="0" fontId="1" fillId="15" borderId="53" xfId="0" applyFont="1" applyFill="1" applyBorder="1" applyAlignment="1">
      <alignment horizontal="center"/>
    </xf>
    <xf numFmtId="0" fontId="0" fillId="14" borderId="38" xfId="0" applyFill="1" applyBorder="1" applyAlignment="1">
      <alignment horizontal="center" shrinkToFit="1"/>
    </xf>
    <xf numFmtId="0" fontId="0" fillId="14" borderId="39" xfId="0" applyFill="1" applyBorder="1" applyAlignment="1">
      <alignment horizontal="center" shrinkToFit="1"/>
    </xf>
    <xf numFmtId="0" fontId="0" fillId="14" borderId="40" xfId="0" applyFill="1" applyBorder="1" applyAlignment="1">
      <alignment horizontal="center" shrinkToFit="1"/>
    </xf>
    <xf numFmtId="0" fontId="0" fillId="14" borderId="8" xfId="0" applyFill="1" applyBorder="1" applyAlignment="1">
      <alignment horizontal="center" wrapText="1"/>
    </xf>
    <xf numFmtId="0" fontId="0" fillId="11" borderId="66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45" xfId="0" applyFill="1" applyBorder="1" applyAlignment="1">
      <alignment horizontal="center"/>
    </xf>
    <xf numFmtId="0" fontId="0" fillId="27" borderId="38" xfId="0" applyFill="1" applyBorder="1" applyAlignment="1">
      <alignment horizontal="center" vertical="center"/>
    </xf>
    <xf numFmtId="0" fontId="0" fillId="27" borderId="39" xfId="0" applyFill="1" applyBorder="1" applyAlignment="1">
      <alignment horizontal="center" vertical="center"/>
    </xf>
    <xf numFmtId="0" fontId="0" fillId="27" borderId="40" xfId="0" applyFill="1" applyBorder="1" applyAlignment="1">
      <alignment horizontal="center" vertical="center"/>
    </xf>
    <xf numFmtId="0" fontId="0" fillId="14" borderId="51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2">
    <cellStyle name="Normal" xfId="0" builtinId="0"/>
    <cellStyle name="Normal 2" xfId="1" xr:uid="{54B65B53-EFFE-48D0-B849-D9A5D3B84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1'!$D$3:$D$11</c:f>
              <c:numCache>
                <c:formatCode>General</c:formatCode>
                <c:ptCount val="9"/>
                <c:pt idx="0">
                  <c:v>-1.96</c:v>
                </c:pt>
                <c:pt idx="1">
                  <c:v>0.93</c:v>
                </c:pt>
                <c:pt idx="2">
                  <c:v>3.68</c:v>
                </c:pt>
                <c:pt idx="3">
                  <c:v>6.21</c:v>
                </c:pt>
                <c:pt idx="4">
                  <c:v>8.81</c:v>
                </c:pt>
                <c:pt idx="5">
                  <c:v>11.75</c:v>
                </c:pt>
                <c:pt idx="6">
                  <c:v>14.44</c:v>
                </c:pt>
                <c:pt idx="7">
                  <c:v>17.68</c:v>
                </c:pt>
                <c:pt idx="8">
                  <c:v>21.47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8A-4447-B61E-68BB2D81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870671"/>
        <c:axId val="1612192063"/>
      </c:scatterChart>
      <c:valAx>
        <c:axId val="146587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92063"/>
        <c:crosses val="autoZero"/>
        <c:crossBetween val="midCat"/>
      </c:valAx>
      <c:valAx>
        <c:axId val="16121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7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1'!$G$3:$G$11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1.11E-2</c:v>
                </c:pt>
                <c:pt idx="2">
                  <c:v>1.84E-2</c:v>
                </c:pt>
                <c:pt idx="3">
                  <c:v>2.9000000000000001E-2</c:v>
                </c:pt>
                <c:pt idx="4">
                  <c:v>4.3999999999999997E-2</c:v>
                </c:pt>
                <c:pt idx="5">
                  <c:v>6.6100000000000006E-2</c:v>
                </c:pt>
                <c:pt idx="6">
                  <c:v>9.2600000000000002E-2</c:v>
                </c:pt>
                <c:pt idx="7">
                  <c:v>0.12770000000000001</c:v>
                </c:pt>
                <c:pt idx="8">
                  <c:v>0.17829999999999999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B6-4EF8-BE2E-A40C898C8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8143"/>
        <c:axId val="101253743"/>
      </c:scatterChart>
      <c:valAx>
        <c:axId val="17656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3743"/>
        <c:crosses val="autoZero"/>
        <c:crossBetween val="midCat"/>
      </c:valAx>
      <c:valAx>
        <c:axId val="101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1'!$L$3:$L$11</c:f>
              <c:numCache>
                <c:formatCode>0.000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0.79700000000000004</c:v>
                </c:pt>
                <c:pt idx="5">
                  <c:v>0.99299999999999999</c:v>
                </c:pt>
                <c:pt idx="6">
                  <c:v>1.1850000000000001</c:v>
                </c:pt>
                <c:pt idx="7">
                  <c:v>1.373</c:v>
                </c:pt>
                <c:pt idx="8">
                  <c:v>1.498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B8-4CA6-8C6D-09916A62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43039"/>
        <c:axId val="112328031"/>
      </c:scatterChart>
      <c:valAx>
        <c:axId val="161944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8031"/>
        <c:crosses val="autoZero"/>
        <c:crossBetween val="midCat"/>
      </c:valAx>
      <c:valAx>
        <c:axId val="1123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4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1'!$O$3:$O$11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7.7999999999999996E-3</c:v>
                </c:pt>
                <c:pt idx="2">
                  <c:v>-7.3000000000000001E-3</c:v>
                </c:pt>
                <c:pt idx="3">
                  <c:v>-3.6200000000000003E-2</c:v>
                </c:pt>
                <c:pt idx="4" formatCode="0.0000">
                  <c:v>-7.9000000000000001E-2</c:v>
                </c:pt>
                <c:pt idx="5">
                  <c:v>-0.1389</c:v>
                </c:pt>
                <c:pt idx="6">
                  <c:v>-0.20949999999999999</c:v>
                </c:pt>
                <c:pt idx="7">
                  <c:v>-0.30349999999999999</c:v>
                </c:pt>
                <c:pt idx="8">
                  <c:v>-0.39779999999999999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5-44B5-AB19-E2BB77C4A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99183"/>
        <c:axId val="108083487"/>
      </c:scatterChart>
      <c:valAx>
        <c:axId val="1723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3487"/>
        <c:crosses val="autoZero"/>
        <c:crossBetween val="midCat"/>
      </c:valAx>
      <c:valAx>
        <c:axId val="1080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1'!$P$3:$P$11</c:f>
              <c:numCache>
                <c:formatCode>General</c:formatCode>
                <c:ptCount val="9"/>
                <c:pt idx="0">
                  <c:v>0</c:v>
                </c:pt>
                <c:pt idx="1">
                  <c:v>43.02</c:v>
                </c:pt>
                <c:pt idx="2">
                  <c:v>33.65</c:v>
                </c:pt>
                <c:pt idx="3" formatCode="0.00">
                  <c:v>31.2</c:v>
                </c:pt>
                <c:pt idx="4">
                  <c:v>30.12</c:v>
                </c:pt>
                <c:pt idx="5">
                  <c:v>29.26</c:v>
                </c:pt>
                <c:pt idx="6">
                  <c:v>27.05</c:v>
                </c:pt>
                <c:pt idx="7">
                  <c:v>26.58</c:v>
                </c:pt>
                <c:pt idx="8">
                  <c:v>26.61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0A-4B7F-9E42-C2BB6BE9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45439"/>
        <c:axId val="1612191567"/>
      </c:scatterChart>
      <c:valAx>
        <c:axId val="16194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91567"/>
        <c:crosses val="autoZero"/>
        <c:crossBetween val="midCat"/>
      </c:valAx>
      <c:valAx>
        <c:axId val="16121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1'!$Q$3:$Q$11</c:f>
              <c:numCache>
                <c:formatCode>General</c:formatCode>
                <c:ptCount val="9"/>
                <c:pt idx="0">
                  <c:v>0</c:v>
                </c:pt>
                <c:pt idx="1">
                  <c:v>-3.6069999999999998E-2</c:v>
                </c:pt>
                <c:pt idx="2">
                  <c:v>-3.4630000000000001E-2</c:v>
                </c:pt>
                <c:pt idx="3">
                  <c:v>-3.7179999999999998E-2</c:v>
                </c:pt>
                <c:pt idx="4">
                  <c:v>-4.0820000000000002E-2</c:v>
                </c:pt>
                <c:pt idx="5">
                  <c:v>-4.2279999999999998E-2</c:v>
                </c:pt>
                <c:pt idx="6">
                  <c:v>-2.4299999999999999E-2</c:v>
                </c:pt>
                <c:pt idx="7">
                  <c:v>-2.1690000000000001E-2</c:v>
                </c:pt>
                <c:pt idx="8">
                  <c:v>-2.4119999999999999E-2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54-4A66-AB67-18449DA3E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8351"/>
        <c:axId val="101258207"/>
      </c:scatterChart>
      <c:valAx>
        <c:axId val="1123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8207"/>
        <c:crosses val="autoZero"/>
        <c:crossBetween val="midCat"/>
      </c:valAx>
      <c:valAx>
        <c:axId val="10125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1'!$R$3:$R$11</c:f>
              <c:numCache>
                <c:formatCode>General</c:formatCode>
                <c:ptCount val="9"/>
                <c:pt idx="0">
                  <c:v>0</c:v>
                </c:pt>
                <c:pt idx="1">
                  <c:v>-3.7870000000000001E-2</c:v>
                </c:pt>
                <c:pt idx="2">
                  <c:v>-3.823E-2</c:v>
                </c:pt>
                <c:pt idx="3">
                  <c:v>-4.2569999999999997E-2</c:v>
                </c:pt>
                <c:pt idx="4" formatCode="0.00000">
                  <c:v>-4.8000000000000001E-2</c:v>
                </c:pt>
                <c:pt idx="5">
                  <c:v>-5.1209999999999999E-2</c:v>
                </c:pt>
                <c:pt idx="6">
                  <c:v>-3.4959999999999998E-2</c:v>
                </c:pt>
                <c:pt idx="7">
                  <c:v>-3.4040000000000001E-2</c:v>
                </c:pt>
                <c:pt idx="8">
                  <c:v>-3.7609999999999998E-2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9-4BEA-99DB-E67BF30F4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810271"/>
        <c:axId val="169650703"/>
      </c:scatterChart>
      <c:valAx>
        <c:axId val="13038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0703"/>
        <c:crosses val="autoZero"/>
        <c:crossBetween val="midCat"/>
      </c:valAx>
      <c:valAx>
        <c:axId val="1696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1'!$S$3:$S$11</c:f>
              <c:numCache>
                <c:formatCode>General</c:formatCode>
                <c:ptCount val="9"/>
                <c:pt idx="0">
                  <c:v>0</c:v>
                </c:pt>
                <c:pt idx="1">
                  <c:v>1.9E-3</c:v>
                </c:pt>
                <c:pt idx="2">
                  <c:v>7.7000000000000002E-3</c:v>
                </c:pt>
                <c:pt idx="3">
                  <c:v>1.7399999999999999E-2</c:v>
                </c:pt>
                <c:pt idx="4">
                  <c:v>3.09E-2</c:v>
                </c:pt>
                <c:pt idx="5">
                  <c:v>4.8300000000000003E-2</c:v>
                </c:pt>
                <c:pt idx="6">
                  <c:v>6.9599999999999995E-2</c:v>
                </c:pt>
                <c:pt idx="7">
                  <c:v>9.4700000000000006E-2</c:v>
                </c:pt>
                <c:pt idx="8">
                  <c:v>0.11459999999999999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2E-4DD4-ADC4-7A6852FB2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22703"/>
        <c:axId val="288786911"/>
      </c:scatterChart>
      <c:valAx>
        <c:axId val="10192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86911"/>
        <c:crosses val="autoZero"/>
        <c:crossBetween val="midCat"/>
      </c:valAx>
      <c:valAx>
        <c:axId val="28878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 1'!$A$3:$A$11</c:f>
              <c:numCache>
                <c:formatCode>0.00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'ACT 1'!$T$3:$T$11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9.1999999999999998E-3</c:v>
                </c:pt>
                <c:pt idx="2">
                  <c:v>1.0699999999999999E-2</c:v>
                </c:pt>
                <c:pt idx="3">
                  <c:v>1.1599999999999999E-2</c:v>
                </c:pt>
                <c:pt idx="4">
                  <c:v>1.3100000000000001E-2</c:v>
                </c:pt>
                <c:pt idx="5">
                  <c:v>1.78E-2</c:v>
                </c:pt>
                <c:pt idx="6">
                  <c:v>2.3E-2</c:v>
                </c:pt>
                <c:pt idx="7">
                  <c:v>3.3000000000000002E-2</c:v>
                </c:pt>
                <c:pt idx="8">
                  <c:v>6.3700000000000007E-2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A1-4E06-AC10-202D6E74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6143"/>
        <c:axId val="291625311"/>
      </c:scatterChart>
      <c:valAx>
        <c:axId val="10562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25311"/>
        <c:crosses val="autoZero"/>
        <c:crossBetween val="midCat"/>
      </c:valAx>
      <c:valAx>
        <c:axId val="2916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6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137.19737799465375</c:v>
              </c:pt>
            </c:numLit>
          </c:xVal>
          <c:yVal>
            <c:numLit>
              <c:formatCode>General</c:formatCode>
              <c:ptCount val="16"/>
              <c:pt idx="0">
                <c:v>1</c:v>
              </c:pt>
              <c:pt idx="1">
                <c:v>1.1599515369178111</c:v>
              </c:pt>
              <c:pt idx="2">
                <c:v>1.3199030738356221</c:v>
              </c:pt>
              <c:pt idx="3">
                <c:v>1.4798546107534332</c:v>
              </c:pt>
              <c:pt idx="4">
                <c:v>1.6398061476712444</c:v>
              </c:pt>
              <c:pt idx="5">
                <c:v>1.7997576845890555</c:v>
              </c:pt>
              <c:pt idx="6">
                <c:v>1.9597092215068665</c:v>
              </c:pt>
              <c:pt idx="7">
                <c:v>2.1196607584246774</c:v>
              </c:pt>
              <c:pt idx="8">
                <c:v>2.2796122953424889</c:v>
              </c:pt>
              <c:pt idx="9">
                <c:v>2.4395638322602999</c:v>
              </c:pt>
              <c:pt idx="10">
                <c:v>2.599515369178111</c:v>
              </c:pt>
              <c:pt idx="11">
                <c:v>2.759466906095922</c:v>
              </c:pt>
              <c:pt idx="12">
                <c:v>2.9194184430137331</c:v>
              </c:pt>
              <c:pt idx="13">
                <c:v>3.0793699799315442</c:v>
              </c:pt>
              <c:pt idx="14">
                <c:v>3.1944931471338744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B26-4E76-963D-6B63263F84DC}"/>
            </c:ext>
          </c:extLst>
        </c:ser>
        <c:ser>
          <c:idx val="1"/>
          <c:order val="1"/>
          <c:tx>
            <c:v>vc -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6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137.19737799465375</c:v>
              </c:pt>
            </c:numLit>
          </c:xVal>
          <c:yVal>
            <c:numLit>
              <c:formatCode>General</c:formatCode>
              <c:ptCount val="16"/>
              <c:pt idx="0">
                <c:v>1</c:v>
              </c:pt>
              <c:pt idx="1">
                <c:v>0.84004846308218895</c:v>
              </c:pt>
              <c:pt idx="2">
                <c:v>0.68009692616437778</c:v>
              </c:pt>
              <c:pt idx="3">
                <c:v>0.52014538924656673</c:v>
              </c:pt>
              <c:pt idx="4">
                <c:v>0.36019385232875556</c:v>
              </c:pt>
              <c:pt idx="5">
                <c:v>0.2002423154109445</c:v>
              </c:pt>
              <c:pt idx="6">
                <c:v>4.029077849313345E-2</c:v>
              </c:pt>
              <c:pt idx="7">
                <c:v>-0.1196607584246776</c:v>
              </c:pt>
              <c:pt idx="8">
                <c:v>-0.27961229534248888</c:v>
              </c:pt>
              <c:pt idx="9">
                <c:v>-0.43956383226029994</c:v>
              </c:pt>
              <c:pt idx="10">
                <c:v>-0.59951536917811099</c:v>
              </c:pt>
              <c:pt idx="11">
                <c:v>-0.75946690609592205</c:v>
              </c:pt>
              <c:pt idx="12">
                <c:v>-0.9194184430137331</c:v>
              </c:pt>
              <c:pt idx="13">
                <c:v>-1.0793699799315442</c:v>
              </c:pt>
              <c:pt idx="14">
                <c:v>-1.1944931471338744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26-4E76-963D-6B63263F84DC}"/>
            </c:ext>
          </c:extLst>
        </c:ser>
        <c:ser>
          <c:idx val="2"/>
          <c:order val="2"/>
          <c:tx>
            <c:v>vd+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140</c:v>
              </c:pt>
              <c:pt idx="15">
                <c:v>150</c:v>
              </c:pt>
              <c:pt idx="16">
                <c:v>160</c:v>
              </c:pt>
              <c:pt idx="17">
                <c:v>170</c:v>
              </c:pt>
              <c:pt idx="18">
                <c:v>180</c:v>
              </c:pt>
              <c:pt idx="19">
                <c:v>190</c:v>
              </c:pt>
              <c:pt idx="20">
                <c:v>200</c:v>
              </c:pt>
              <c:pt idx="21">
                <c:v>205.79606699198064</c:v>
              </c:pt>
            </c:numLit>
          </c:xVal>
          <c:yVal>
            <c:numLit>
              <c:formatCode>General</c:formatCode>
              <c:ptCount val="23"/>
              <c:pt idx="0">
                <c:v>1</c:v>
              </c:pt>
              <c:pt idx="1">
                <c:v>1.0799757684589055</c:v>
              </c:pt>
              <c:pt idx="2">
                <c:v>1.1599515369178111</c:v>
              </c:pt>
              <c:pt idx="3">
                <c:v>1.2399273053767166</c:v>
              </c:pt>
              <c:pt idx="4">
                <c:v>1.3199030738356221</c:v>
              </c:pt>
              <c:pt idx="5">
                <c:v>1.3998788422945276</c:v>
              </c:pt>
              <c:pt idx="6">
                <c:v>1.4798546107534332</c:v>
              </c:pt>
              <c:pt idx="7">
                <c:v>1.5598303792123387</c:v>
              </c:pt>
              <c:pt idx="8">
                <c:v>1.6398061476712444</c:v>
              </c:pt>
              <c:pt idx="9">
                <c:v>1.71978191613015</c:v>
              </c:pt>
              <c:pt idx="10">
                <c:v>1.7997576845890555</c:v>
              </c:pt>
              <c:pt idx="11">
                <c:v>1.879733453047961</c:v>
              </c:pt>
              <c:pt idx="12">
                <c:v>1.9597092215068665</c:v>
              </c:pt>
              <c:pt idx="13">
                <c:v>2.0396849899657719</c:v>
              </c:pt>
              <c:pt idx="14">
                <c:v>2.1196607584246774</c:v>
              </c:pt>
              <c:pt idx="15">
                <c:v>2.1996365268835829</c:v>
              </c:pt>
              <c:pt idx="16">
                <c:v>2.2796122953424889</c:v>
              </c:pt>
              <c:pt idx="17">
                <c:v>2.3595880638013944</c:v>
              </c:pt>
              <c:pt idx="18">
                <c:v>2.4395638322602999</c:v>
              </c:pt>
              <c:pt idx="19">
                <c:v>2.5195396007192055</c:v>
              </c:pt>
              <c:pt idx="20">
                <c:v>2.599515369178111</c:v>
              </c:pt>
              <c:pt idx="21">
                <c:v>2.6458698603504058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B26-4E76-963D-6B63263F84DC}"/>
            </c:ext>
          </c:extLst>
        </c:ser>
        <c:ser>
          <c:idx val="3"/>
          <c:order val="3"/>
          <c:tx>
            <c:v>vd-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120</c:v>
              </c:pt>
              <c:pt idx="13">
                <c:v>130</c:v>
              </c:pt>
              <c:pt idx="14">
                <c:v>140</c:v>
              </c:pt>
              <c:pt idx="15">
                <c:v>150</c:v>
              </c:pt>
              <c:pt idx="16">
                <c:v>160</c:v>
              </c:pt>
              <c:pt idx="17">
                <c:v>170</c:v>
              </c:pt>
              <c:pt idx="18">
                <c:v>180</c:v>
              </c:pt>
              <c:pt idx="19">
                <c:v>190</c:v>
              </c:pt>
              <c:pt idx="20">
                <c:v>200</c:v>
              </c:pt>
              <c:pt idx="21">
                <c:v>205.79606699198064</c:v>
              </c:pt>
            </c:numLit>
          </c:xVal>
          <c:yVal>
            <c:numLit>
              <c:formatCode>General</c:formatCode>
              <c:ptCount val="23"/>
              <c:pt idx="0">
                <c:v>1</c:v>
              </c:pt>
              <c:pt idx="1">
                <c:v>0.92002423154109447</c:v>
              </c:pt>
              <c:pt idx="2">
                <c:v>0.84004846308218895</c:v>
              </c:pt>
              <c:pt idx="3">
                <c:v>0.76007269462328342</c:v>
              </c:pt>
              <c:pt idx="4">
                <c:v>0.68009692616437778</c:v>
              </c:pt>
              <c:pt idx="5">
                <c:v>0.60012115770547225</c:v>
              </c:pt>
              <c:pt idx="6">
                <c:v>0.52014538924656673</c:v>
              </c:pt>
              <c:pt idx="7">
                <c:v>0.4401696207876612</c:v>
              </c:pt>
              <c:pt idx="8">
                <c:v>0.36019385232875556</c:v>
              </c:pt>
              <c:pt idx="9">
                <c:v>0.28021808386985003</c:v>
              </c:pt>
              <c:pt idx="10">
                <c:v>0.2002423154109445</c:v>
              </c:pt>
              <c:pt idx="11">
                <c:v>0.12026654695203898</c:v>
              </c:pt>
              <c:pt idx="12">
                <c:v>4.029077849313345E-2</c:v>
              </c:pt>
              <c:pt idx="13">
                <c:v>-3.9684989965772077E-2</c:v>
              </c:pt>
              <c:pt idx="14">
                <c:v>-0.1196607584246776</c:v>
              </c:pt>
              <c:pt idx="15">
                <c:v>-0.19963652688358313</c:v>
              </c:pt>
              <c:pt idx="16">
                <c:v>-0.27961229534248888</c:v>
              </c:pt>
              <c:pt idx="17">
                <c:v>-0.35958806380139441</c:v>
              </c:pt>
              <c:pt idx="18">
                <c:v>-0.43956383226029994</c:v>
              </c:pt>
              <c:pt idx="19">
                <c:v>-0.51953960071920546</c:v>
              </c:pt>
              <c:pt idx="20">
                <c:v>-0.59951536917811099</c:v>
              </c:pt>
              <c:pt idx="21">
                <c:v>-0.64586986035040583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B26-4E76-963D-6B63263F84DC}"/>
            </c:ext>
          </c:extLst>
        </c:ser>
        <c:ser>
          <c:idx val="4"/>
          <c:order val="4"/>
          <c:tx>
            <c:v>va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26-4E76-963D-6B63263F84D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26-4E76-963D-6B63263F84D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26-4E76-963D-6B63263F84DC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26-4E76-963D-6B63263F84D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26-4E76-963D-6B63263F84DC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B26-4E76-963D-6B63263F84DC}"/>
              </c:ext>
            </c:extLst>
          </c:dPt>
          <c:xVal>
            <c:numLit>
              <c:formatCode>General</c:formatCode>
              <c:ptCount val="13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90</c:v>
              </c:pt>
              <c:pt idx="10">
                <c:v>100</c:v>
              </c:pt>
              <c:pt idx="11">
                <c:v>110</c:v>
              </c:pt>
              <c:pt idx="12">
                <c:v>117.36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3.0203572909080698E-2</c:v>
              </c:pt>
              <c:pt idx="2">
                <c:v>0.12081429163632279</c:v>
              </c:pt>
              <c:pt idx="3">
                <c:v>0.27183215618172629</c:v>
              </c:pt>
              <c:pt idx="4">
                <c:v>0.48325716654529116</c:v>
              </c:pt>
              <c:pt idx="5">
                <c:v>0.75508932272701745</c:v>
              </c:pt>
              <c:pt idx="6">
                <c:v>1.0873286247269052</c:v>
              </c:pt>
              <c:pt idx="7">
                <c:v>1.4799750725449539</c:v>
              </c:pt>
              <c:pt idx="8">
                <c:v>1.9330286661811646</c:v>
              </c:pt>
              <c:pt idx="9">
                <c:v>2.4464894056355369</c:v>
              </c:pt>
              <c:pt idx="10">
                <c:v>3.0203572909080698</c:v>
              </c:pt>
              <c:pt idx="11">
                <c:v>3.654632321998764</c:v>
              </c:pt>
              <c:pt idx="12">
                <c:v>4.1600497291731564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BB26-4E76-963D-6B63263F84DC}"/>
            </c:ext>
          </c:extLst>
        </c:ser>
        <c:ser>
          <c:idx val="5"/>
          <c:order val="5"/>
          <c:tx>
            <c:v>vf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B26-4E76-963D-6B63263F84D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B26-4E76-963D-6B63263F84D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B26-4E76-963D-6B63263F84D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B26-4E76-963D-6B63263F84D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B26-4E76-963D-6B63263F84D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BB26-4E76-963D-6B63263F84D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BB26-4E76-963D-6B63263F84DC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26-4E76-963D-6B63263F84D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BB26-4E76-963D-6B63263F84D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BB26-4E76-963D-6B63263F84DC}"/>
              </c:ext>
            </c:extLst>
          </c:dPt>
          <c:xVal>
            <c:numLit>
              <c:formatCode>General</c:formatCode>
              <c:ptCount val="10"/>
              <c:pt idx="0">
                <c:v>0</c:v>
              </c:pt>
              <c:pt idx="1">
                <c:v>10</c:v>
              </c:pt>
              <c:pt idx="2">
                <c:v>20</c:v>
              </c:pt>
              <c:pt idx="3">
                <c:v>30</c:v>
              </c:pt>
              <c:pt idx="4">
                <c:v>40</c:v>
              </c:pt>
              <c:pt idx="5">
                <c:v>50</c:v>
              </c:pt>
              <c:pt idx="6">
                <c:v>60</c:v>
              </c:pt>
              <c:pt idx="7">
                <c:v>70</c:v>
              </c:pt>
              <c:pt idx="8">
                <c:v>80</c:v>
              </c:pt>
              <c:pt idx="9">
                <c:v>89.988833360171867</c:v>
              </c:pt>
            </c:numLit>
          </c:xVal>
          <c:yVal>
            <c:numLit>
              <c:formatCode>General</c:formatCode>
              <c:ptCount val="10"/>
              <c:pt idx="0">
                <c:v>0</c:v>
              </c:pt>
              <c:pt idx="1">
                <c:v>-1.2081429163632279E-2</c:v>
              </c:pt>
              <c:pt idx="2">
                <c:v>-4.8325716654529116E-2</c:v>
              </c:pt>
              <c:pt idx="3">
                <c:v>-0.10873286247269053</c:v>
              </c:pt>
              <c:pt idx="4">
                <c:v>-0.19330286661811646</c:v>
              </c:pt>
              <c:pt idx="5">
                <c:v>-0.302035729090807</c:v>
              </c:pt>
              <c:pt idx="6">
                <c:v>-0.4349314498907621</c:v>
              </c:pt>
              <c:pt idx="7">
                <c:v>-0.59199002901798159</c:v>
              </c:pt>
              <c:pt idx="8">
                <c:v>-0.77321146647246586</c:v>
              </c:pt>
              <c:pt idx="9">
                <c:v>-0.97859576225421474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5-BB26-4E76-963D-6B63263F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338959"/>
        <c:axId val="1137117375"/>
      </c:scatterChart>
      <c:valAx>
        <c:axId val="131433895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17375"/>
        <c:crosses val="autoZero"/>
        <c:crossBetween val="midCat"/>
      </c:valAx>
      <c:valAx>
        <c:axId val="1137117375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3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('ACT 4'!$T$29,'ACT 4'!$T$30,'ACT 4'!$T$23)</c:f>
              <c:numCache>
                <c:formatCode>0.00</c:formatCode>
                <c:ptCount val="3"/>
                <c:pt idx="0">
                  <c:v>53.536193352123504</c:v>
                </c:pt>
                <c:pt idx="1">
                  <c:v>35.690795568082336</c:v>
                </c:pt>
                <c:pt idx="2">
                  <c:v>17.845397784041168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D-4BEC-BE07-084B2AA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93807"/>
        <c:axId val="686683599"/>
      </c:barChart>
      <c:catAx>
        <c:axId val="108889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83599"/>
        <c:crosses val="autoZero"/>
        <c:auto val="1"/>
        <c:lblAlgn val="ctr"/>
        <c:lblOffset val="100"/>
        <c:noMultiLvlLbl val="0"/>
      </c:catAx>
      <c:valAx>
        <c:axId val="6866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9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Shear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42014442956293"/>
          <c:y val="0.17130287766199828"/>
          <c:w val="0.8087207620695166"/>
          <c:h val="0.61590382021458545"/>
        </c:manualLayout>
      </c:layout>
      <c:lineChart>
        <c:grouping val="standard"/>
        <c:varyColors val="0"/>
        <c:ser>
          <c:idx val="1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6'!$U$28:$U$37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9C4F-BE92-90BA8AA74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498656"/>
        <c:axId val="1988970032"/>
      </c:lineChart>
      <c:catAx>
        <c:axId val="1988498656"/>
        <c:scaling>
          <c:orientation val="maxMin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70032"/>
        <c:crosses val="autoZero"/>
        <c:auto val="1"/>
        <c:lblAlgn val="ctr"/>
        <c:lblOffset val="100"/>
        <c:noMultiLvlLbl val="0"/>
      </c:catAx>
      <c:valAx>
        <c:axId val="1988970032"/>
        <c:scaling>
          <c:orientation val="minMax"/>
          <c:max val="50000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98656"/>
        <c:crosses val="autoZero"/>
        <c:crossBetween val="between"/>
        <c:majorUnit val="5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 6'!$V$27:$V$37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B-A449-A5F5-42D10C81B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47248"/>
        <c:axId val="2138622912"/>
      </c:lineChart>
      <c:catAx>
        <c:axId val="1662247248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22912"/>
        <c:crosses val="autoZero"/>
        <c:auto val="1"/>
        <c:lblAlgn val="ctr"/>
        <c:lblOffset val="100"/>
        <c:noMultiLvlLbl val="0"/>
      </c:catAx>
      <c:valAx>
        <c:axId val="21386229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4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 6'!$Q$64:$Q$73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A-9040-BF55-D4D4C654815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'ACT 6'!$R$64:$R$73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A-9040-BF55-D4D4C654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551344"/>
        <c:axId val="1884087968"/>
      </c:lineChart>
      <c:catAx>
        <c:axId val="198855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87968"/>
        <c:crosses val="autoZero"/>
        <c:auto val="1"/>
        <c:lblAlgn val="ctr"/>
        <c:lblOffset val="100"/>
        <c:noMultiLvlLbl val="0"/>
      </c:catAx>
      <c:valAx>
        <c:axId val="188408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0870516185476"/>
          <c:y val="0.19486111111111112"/>
          <c:w val="0.8458912948381451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6'!$Z$28:$Z$37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7-4FFF-BF14-18B88878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448207"/>
        <c:axId val="156850719"/>
      </c:lineChart>
      <c:catAx>
        <c:axId val="522448207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0719"/>
        <c:crosses val="autoZero"/>
        <c:auto val="1"/>
        <c:lblAlgn val="ctr"/>
        <c:lblOffset val="100"/>
        <c:noMultiLvlLbl val="0"/>
      </c:catAx>
      <c:valAx>
        <c:axId val="1568507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4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 6'!$AA$27:$AA$37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6-4D3B-82AC-587E5728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994991"/>
        <c:axId val="718194591"/>
      </c:lineChart>
      <c:catAx>
        <c:axId val="531994991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94591"/>
        <c:crosses val="autoZero"/>
        <c:auto val="1"/>
        <c:lblAlgn val="ctr"/>
        <c:lblOffset val="100"/>
        <c:noMultiLvlLbl val="0"/>
      </c:catAx>
      <c:valAx>
        <c:axId val="718194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99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15</xdr:row>
      <xdr:rowOff>80962</xdr:rowOff>
    </xdr:from>
    <xdr:to>
      <xdr:col>4</xdr:col>
      <xdr:colOff>447675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91F1ED-3C72-7C18-290C-2636AF798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491377</xdr:colOff>
      <xdr:row>15</xdr:row>
      <xdr:rowOff>37259</xdr:rowOff>
    </xdr:from>
    <xdr:to>
      <xdr:col>9</xdr:col>
      <xdr:colOff>448235</xdr:colOff>
      <xdr:row>34</xdr:row>
      <xdr:rowOff>184897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5B9D31-9599-A595-9202-2BFED8A75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485616</xdr:colOff>
      <xdr:row>14</xdr:row>
      <xdr:rowOff>172370</xdr:rowOff>
    </xdr:from>
    <xdr:to>
      <xdr:col>16</xdr:col>
      <xdr:colOff>164887</xdr:colOff>
      <xdr:row>34</xdr:row>
      <xdr:rowOff>124065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0E78AB-D79B-0A23-BE7D-73ADC0F44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296954</xdr:colOff>
      <xdr:row>14</xdr:row>
      <xdr:rowOff>180414</xdr:rowOff>
    </xdr:from>
    <xdr:to>
      <xdr:col>24</xdr:col>
      <xdr:colOff>56029</xdr:colOff>
      <xdr:row>34</xdr:row>
      <xdr:rowOff>134470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78F128-CA83-CA39-1E2D-702D12CAA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2474</xdr:colOff>
      <xdr:row>0</xdr:row>
      <xdr:rowOff>170954</xdr:rowOff>
    </xdr:from>
    <xdr:to>
      <xdr:col>32</xdr:col>
      <xdr:colOff>339669</xdr:colOff>
      <xdr:row>15</xdr:row>
      <xdr:rowOff>8410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7A7B67-F1DE-9E18-9E88-D8B2F3E83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588745</xdr:colOff>
      <xdr:row>15</xdr:row>
      <xdr:rowOff>121036</xdr:rowOff>
    </xdr:from>
    <xdr:to>
      <xdr:col>32</xdr:col>
      <xdr:colOff>319803</xdr:colOff>
      <xdr:row>30</xdr:row>
      <xdr:rowOff>6736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B84C20-0585-B9D0-71B9-BAEEF08A9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594202</xdr:colOff>
      <xdr:row>30</xdr:row>
      <xdr:rowOff>123221</xdr:rowOff>
    </xdr:from>
    <xdr:to>
      <xdr:col>32</xdr:col>
      <xdr:colOff>325261</xdr:colOff>
      <xdr:row>45</xdr:row>
      <xdr:rowOff>8921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1090E0-2FD3-9438-0155-76C78F7B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343819</xdr:colOff>
      <xdr:row>37</xdr:row>
      <xdr:rowOff>101773</xdr:rowOff>
    </xdr:from>
    <xdr:to>
      <xdr:col>18</xdr:col>
      <xdr:colOff>479492</xdr:colOff>
      <xdr:row>51</xdr:row>
      <xdr:rowOff>182055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88433D-B8A8-E6BB-CC48-D45DDE62F153}"/>
            </a:ext>
            <a:ext uri="{147F2762-F138-4A5C-976F-8EAC2B608ADB}">
              <a16:predDERef xmlns:a16="http://schemas.microsoft.com/office/drawing/2014/main" pred="{151090E0-2FD3-9438-0155-76C78F7B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209790</xdr:colOff>
      <xdr:row>37</xdr:row>
      <xdr:rowOff>69957</xdr:rowOff>
    </xdr:from>
    <xdr:to>
      <xdr:col>10</xdr:col>
      <xdr:colOff>50187</xdr:colOff>
      <xdr:row>51</xdr:row>
      <xdr:rowOff>146157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FE24F3-A073-27CB-AAAF-DF6CEBE25AB8}"/>
            </a:ext>
            <a:ext uri="{147F2762-F138-4A5C-976F-8EAC2B608ADB}">
              <a16:predDERef xmlns:a16="http://schemas.microsoft.com/office/drawing/2014/main" pred="{9F88433D-B8A8-E6BB-CC48-D45DDE62F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55</xdr:row>
      <xdr:rowOff>0</xdr:rowOff>
    </xdr:from>
    <xdr:to>
      <xdr:col>24</xdr:col>
      <xdr:colOff>361950</xdr:colOff>
      <xdr:row>86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D7B3A-4FA3-41AD-B157-CB5C86221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7</xdr:row>
      <xdr:rowOff>90487</xdr:rowOff>
    </xdr:from>
    <xdr:to>
      <xdr:col>23</xdr:col>
      <xdr:colOff>590550</xdr:colOff>
      <xdr:row>17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244105-BE94-BF80-8D1F-4C865F5F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212915</xdr:colOff>
      <xdr:row>58</xdr:row>
      <xdr:rowOff>51832</xdr:rowOff>
    </xdr:from>
    <xdr:to>
      <xdr:col>14</xdr:col>
      <xdr:colOff>927340</xdr:colOff>
      <xdr:row>72</xdr:row>
      <xdr:rowOff>134599</xdr:rowOff>
    </xdr:to>
    <xdr:graphicFrame macro="">
      <xdr:nvGraphicFramePr>
        <xdr:cNvPr id="49" name="Chart 3">
          <a:extLst>
            <a:ext uri="{FF2B5EF4-FFF2-40B4-BE49-F238E27FC236}">
              <a16:creationId xmlns:a16="http://schemas.microsoft.com/office/drawing/2014/main" id="{4794B600-BBC5-EDAB-ED25-934AE2258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205034</xdr:colOff>
      <xdr:row>73</xdr:row>
      <xdr:rowOff>183399</xdr:rowOff>
    </xdr:from>
    <xdr:to>
      <xdr:col>14</xdr:col>
      <xdr:colOff>890923</xdr:colOff>
      <xdr:row>87</xdr:row>
      <xdr:rowOff>174932</xdr:rowOff>
    </xdr:to>
    <xdr:graphicFrame macro="">
      <xdr:nvGraphicFramePr>
        <xdr:cNvPr id="52" name="Chart 5">
          <a:extLst>
            <a:ext uri="{FF2B5EF4-FFF2-40B4-BE49-F238E27FC236}">
              <a16:creationId xmlns:a16="http://schemas.microsoft.com/office/drawing/2014/main" id="{31D24D8B-6DD1-0F05-99F8-FC4610D15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204657</xdr:colOff>
      <xdr:row>42</xdr:row>
      <xdr:rowOff>101801</xdr:rowOff>
    </xdr:from>
    <xdr:to>
      <xdr:col>14</xdr:col>
      <xdr:colOff>928723</xdr:colOff>
      <xdr:row>56</xdr:row>
      <xdr:rowOff>143942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C7CDBE7-AC89-EA0E-6700-613C4FEC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343379</xdr:colOff>
      <xdr:row>41</xdr:row>
      <xdr:rowOff>122782</xdr:rowOff>
    </xdr:from>
    <xdr:to>
      <xdr:col>29</xdr:col>
      <xdr:colOff>361787</xdr:colOff>
      <xdr:row>58</xdr:row>
      <xdr:rowOff>43221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4443A-AF14-6CEF-EB4A-70611F2AD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265339</xdr:colOff>
      <xdr:row>59</xdr:row>
      <xdr:rowOff>97972</xdr:rowOff>
    </xdr:from>
    <xdr:to>
      <xdr:col>29</xdr:col>
      <xdr:colOff>156481</xdr:colOff>
      <xdr:row>73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DA9B8-575D-3296-655C-366CC1C9F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itbydcj-\Desktop\Main%20Excel%20for%20AIRDESIGN1L.xlsx" TargetMode="External"/><Relationship Id="rId1" Type="http://schemas.openxmlformats.org/officeDocument/2006/relationships/externalLinkPath" Target="Main%20Excel%20for%20AIRDESIGN1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 3"/>
      <sheetName val="ACT 4"/>
      <sheetName val="ACT 5"/>
      <sheetName val="ACT 6"/>
      <sheetName val="ACT 7"/>
      <sheetName val="ACT 8"/>
      <sheetName val="ACT 9"/>
      <sheetName val="ACT 10"/>
      <sheetName val="ACT 11"/>
      <sheetName val="ACT 12"/>
      <sheetName val="ACT 13"/>
      <sheetName val="ACT 14"/>
    </sheetNames>
    <sheetDataSet>
      <sheetData sheetId="0">
        <row r="7">
          <cell r="M7">
            <v>1649.2521457653345</v>
          </cell>
        </row>
        <row r="8">
          <cell r="M8">
            <v>748.08757930198965</v>
          </cell>
        </row>
        <row r="14">
          <cell r="R14">
            <v>126.52100068226807</v>
          </cell>
          <cell r="S14">
            <v>11.754180526384751</v>
          </cell>
        </row>
        <row r="16">
          <cell r="R16">
            <v>4.3849875262317353</v>
          </cell>
          <cell r="S16">
            <v>1.3365441979954329</v>
          </cell>
        </row>
        <row r="18">
          <cell r="R18">
            <v>28.85321792260482</v>
          </cell>
          <cell r="S18">
            <v>8.794460822809949</v>
          </cell>
          <cell r="V18">
            <v>0.87283753478808368</v>
          </cell>
          <cell r="Y18">
            <v>0.91317131220450909</v>
          </cell>
        </row>
        <row r="20">
          <cell r="R20">
            <v>5.6378411051550872</v>
          </cell>
        </row>
        <row r="22">
          <cell r="R22">
            <v>2.8189205525775436</v>
          </cell>
        </row>
        <row r="26">
          <cell r="U26">
            <v>18.040957504693775</v>
          </cell>
        </row>
        <row r="28">
          <cell r="V28">
            <v>0.43735410000000002</v>
          </cell>
        </row>
        <row r="42">
          <cell r="L42">
            <v>13.194017166122675</v>
          </cell>
        </row>
        <row r="45">
          <cell r="L45">
            <v>13.03540231954929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6">
          <cell r="I16">
            <v>1609.5956275446676</v>
          </cell>
        </row>
        <row r="19">
          <cell r="I19">
            <v>4.2924710408111268</v>
          </cell>
        </row>
      </sheetData>
      <sheetData sheetId="6">
        <row r="27">
          <cell r="S27">
            <v>0.45058173000000001</v>
          </cell>
        </row>
      </sheetData>
      <sheetData sheetId="7" refreshError="1"/>
      <sheetData sheetId="8">
        <row r="25">
          <cell r="Q25">
            <v>97.5</v>
          </cell>
        </row>
        <row r="34">
          <cell r="P34">
            <v>138.10933598187177</v>
          </cell>
        </row>
        <row r="35">
          <cell r="P35">
            <v>202.56035944007857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D299-D6DF-46B6-BECD-A86D22750F48}">
  <sheetPr codeName="Sheet1"/>
  <dimension ref="A1:T48"/>
  <sheetViews>
    <sheetView zoomScale="119" zoomScaleNormal="115" workbookViewId="0">
      <selection activeCell="AH10" sqref="AH10"/>
    </sheetView>
  </sheetViews>
  <sheetFormatPr defaultColWidth="8.85546875" defaultRowHeight="15"/>
  <cols>
    <col min="18" max="18" width="11.140625" bestFit="1" customWidth="1"/>
  </cols>
  <sheetData>
    <row r="1" spans="1:20" ht="15.75" thickBot="1">
      <c r="A1" s="9">
        <v>1</v>
      </c>
      <c r="B1" s="1">
        <v>2</v>
      </c>
      <c r="C1" s="1">
        <v>3</v>
      </c>
      <c r="D1" s="12">
        <v>4</v>
      </c>
      <c r="E1" s="1">
        <v>5</v>
      </c>
      <c r="F1" s="1">
        <v>6</v>
      </c>
      <c r="G1" s="10">
        <v>7</v>
      </c>
      <c r="H1" s="1">
        <v>8</v>
      </c>
      <c r="I1" s="1">
        <v>9</v>
      </c>
      <c r="J1" s="1">
        <v>10</v>
      </c>
      <c r="K1" s="1">
        <v>11</v>
      </c>
      <c r="L1" s="10">
        <v>12</v>
      </c>
      <c r="M1" s="1">
        <v>13</v>
      </c>
      <c r="N1" s="1">
        <v>14</v>
      </c>
      <c r="O1" s="10">
        <v>15</v>
      </c>
      <c r="P1" s="10">
        <v>16</v>
      </c>
      <c r="Q1" s="10">
        <v>17</v>
      </c>
      <c r="R1" s="10">
        <v>18</v>
      </c>
      <c r="S1" s="10">
        <v>19</v>
      </c>
      <c r="T1" s="11">
        <v>20</v>
      </c>
    </row>
    <row r="2" spans="1:20" ht="15.75" thickBot="1">
      <c r="A2" s="62" t="s">
        <v>0</v>
      </c>
      <c r="B2" s="6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64" t="s">
        <v>19</v>
      </c>
    </row>
    <row r="3" spans="1:20" ht="15.75" thickBot="1">
      <c r="A3" s="47">
        <v>0</v>
      </c>
      <c r="B3" s="69">
        <v>-1.96</v>
      </c>
      <c r="C3" s="65">
        <v>0</v>
      </c>
      <c r="D3" s="65">
        <v>-1.96</v>
      </c>
      <c r="E3" s="65">
        <v>8.3999999999999995E-3</v>
      </c>
      <c r="F3" s="66">
        <v>0</v>
      </c>
      <c r="G3" s="66">
        <v>8.3999999999999995E-3</v>
      </c>
      <c r="H3" s="45">
        <v>0.99941999999999998</v>
      </c>
      <c r="I3" s="65">
        <v>-3.4200000000000001E-2</v>
      </c>
      <c r="J3" s="65">
        <v>0</v>
      </c>
      <c r="K3" s="65">
        <v>-2.9E-4</v>
      </c>
      <c r="L3" s="77">
        <v>0</v>
      </c>
      <c r="M3" s="66">
        <v>0</v>
      </c>
      <c r="N3" s="66">
        <v>8.3999999999999995E-3</v>
      </c>
      <c r="O3" s="69">
        <v>8.3999999999999995E-3</v>
      </c>
      <c r="P3" s="65" t="s">
        <v>20</v>
      </c>
      <c r="Q3" s="66" t="s">
        <v>20</v>
      </c>
      <c r="R3" s="66" t="s">
        <v>20</v>
      </c>
      <c r="S3" s="65">
        <v>0</v>
      </c>
      <c r="T3" s="66">
        <v>8.3999999999999995E-3</v>
      </c>
    </row>
    <row r="4" spans="1:20" ht="15.75" thickBot="1">
      <c r="A4" s="48">
        <v>0.2</v>
      </c>
      <c r="B4" s="70">
        <v>0.99</v>
      </c>
      <c r="C4" s="68">
        <v>-0.06</v>
      </c>
      <c r="D4" s="67">
        <v>0.93</v>
      </c>
      <c r="E4" s="67">
        <v>1.1299999999999999E-2</v>
      </c>
      <c r="F4" s="68">
        <v>-2.0000000000000001E-4</v>
      </c>
      <c r="G4" s="68">
        <v>1.11E-2</v>
      </c>
      <c r="H4" s="46">
        <v>0.99987000000000004</v>
      </c>
      <c r="I4" s="67">
        <v>1.6310000000000002E-2</v>
      </c>
      <c r="J4" s="67">
        <v>0.19997000000000001</v>
      </c>
      <c r="K4" s="67">
        <v>1.8000000000000001E-4</v>
      </c>
      <c r="L4" s="78">
        <v>0.2</v>
      </c>
      <c r="M4" s="68">
        <v>3.2599999999999999E-3</v>
      </c>
      <c r="N4" s="68">
        <v>1.11E-2</v>
      </c>
      <c r="O4" s="70">
        <v>7.7999999999999996E-3</v>
      </c>
      <c r="P4" s="68">
        <v>43.02</v>
      </c>
      <c r="Q4" s="68">
        <v>-3.6069999999999998E-2</v>
      </c>
      <c r="R4" s="68">
        <v>-3.7870000000000001E-2</v>
      </c>
      <c r="S4" s="68">
        <v>1.9E-3</v>
      </c>
      <c r="T4" s="68">
        <v>9.1999999999999998E-3</v>
      </c>
    </row>
    <row r="5" spans="1:20" ht="15.75" thickBot="1">
      <c r="A5" s="48">
        <v>0.4</v>
      </c>
      <c r="B5" s="70">
        <v>3.79</v>
      </c>
      <c r="C5" s="68">
        <v>-0.11</v>
      </c>
      <c r="D5" s="67">
        <v>3.68</v>
      </c>
      <c r="E5" s="67">
        <v>1.9199999999999998E-2</v>
      </c>
      <c r="F5" s="68">
        <v>-8.0000000000000004E-4</v>
      </c>
      <c r="G5" s="68">
        <v>1.84E-2</v>
      </c>
      <c r="H5" s="46">
        <v>0.99794000000000005</v>
      </c>
      <c r="I5" s="67">
        <v>6.4159999999999995E-2</v>
      </c>
      <c r="J5" s="67">
        <v>0.39917999999999998</v>
      </c>
      <c r="K5" s="67">
        <v>1.1800000000000001E-3</v>
      </c>
      <c r="L5" s="78">
        <v>0.4</v>
      </c>
      <c r="M5" s="68">
        <v>2.5659999999999999E-2</v>
      </c>
      <c r="N5" s="68">
        <v>1.8380000000000001E-2</v>
      </c>
      <c r="O5" s="70">
        <v>-7.3000000000000001E-3</v>
      </c>
      <c r="P5" s="68">
        <v>33.65</v>
      </c>
      <c r="Q5" s="68">
        <v>-3.4630000000000001E-2</v>
      </c>
      <c r="R5" s="68">
        <v>-3.823E-2</v>
      </c>
      <c r="S5" s="68">
        <v>7.7000000000000002E-3</v>
      </c>
      <c r="T5" s="68">
        <v>1.0699999999999999E-2</v>
      </c>
    </row>
    <row r="6" spans="1:20" ht="15.75" thickBot="1">
      <c r="A6" s="48">
        <v>0.6</v>
      </c>
      <c r="B6" s="70">
        <v>6.38</v>
      </c>
      <c r="C6" s="68">
        <v>-0.17</v>
      </c>
      <c r="D6" s="67">
        <v>6.21</v>
      </c>
      <c r="E6" s="67">
        <v>3.0700000000000002E-2</v>
      </c>
      <c r="F6" s="68">
        <v>-1.8E-3</v>
      </c>
      <c r="G6" s="68">
        <v>2.9000000000000001E-2</v>
      </c>
      <c r="H6" s="46">
        <v>0.99412999999999996</v>
      </c>
      <c r="I6" s="67">
        <v>0.10822</v>
      </c>
      <c r="J6" s="67">
        <v>0.59648000000000001</v>
      </c>
      <c r="K6" s="67">
        <v>3.13E-3</v>
      </c>
      <c r="L6" s="78">
        <v>0.6</v>
      </c>
      <c r="M6" s="68">
        <v>6.4930000000000002E-2</v>
      </c>
      <c r="N6" s="68">
        <v>2.878E-2</v>
      </c>
      <c r="O6" s="70">
        <v>-3.6200000000000003E-2</v>
      </c>
      <c r="P6" s="109">
        <v>31.2</v>
      </c>
      <c r="Q6" s="68">
        <v>-3.7179999999999998E-2</v>
      </c>
      <c r="R6" s="68">
        <v>-4.2569999999999997E-2</v>
      </c>
      <c r="S6" s="68">
        <v>1.7399999999999999E-2</v>
      </c>
      <c r="T6" s="68">
        <v>1.1599999999999999E-2</v>
      </c>
    </row>
    <row r="7" spans="1:20" ht="15.75" thickBot="1">
      <c r="A7" s="48">
        <v>0.8</v>
      </c>
      <c r="B7" s="70">
        <v>9.0299999999999994</v>
      </c>
      <c r="C7" s="68">
        <v>-0.22</v>
      </c>
      <c r="D7" s="67">
        <v>8.81</v>
      </c>
      <c r="E7" s="67">
        <v>4.7100000000000003E-2</v>
      </c>
      <c r="F7" s="68">
        <v>-3.0999999999999999E-3</v>
      </c>
      <c r="G7" s="68">
        <v>4.3999999999999997E-2</v>
      </c>
      <c r="H7" s="46">
        <v>0.98821000000000003</v>
      </c>
      <c r="I7" s="67">
        <v>0.15311</v>
      </c>
      <c r="J7" s="67">
        <v>0.79056999999999999</v>
      </c>
      <c r="K7" s="67">
        <v>6.7400000000000003E-3</v>
      </c>
      <c r="L7" s="78">
        <v>0.79700000000000004</v>
      </c>
      <c r="M7" s="68">
        <v>0.12249</v>
      </c>
      <c r="N7" s="68">
        <v>4.3470000000000002E-2</v>
      </c>
      <c r="O7" s="94">
        <v>-7.9000000000000001E-2</v>
      </c>
      <c r="P7" s="68">
        <v>30.12</v>
      </c>
      <c r="Q7" s="68">
        <v>-4.0820000000000002E-2</v>
      </c>
      <c r="R7" s="110">
        <v>-4.8000000000000001E-2</v>
      </c>
      <c r="S7" s="68">
        <v>3.09E-2</v>
      </c>
      <c r="T7" s="68">
        <v>1.3100000000000001E-2</v>
      </c>
    </row>
    <row r="8" spans="1:20" ht="15.75" thickBot="1">
      <c r="A8" s="48">
        <v>1</v>
      </c>
      <c r="B8" s="70">
        <v>12.03</v>
      </c>
      <c r="C8" s="68">
        <v>-0.28000000000000003</v>
      </c>
      <c r="D8" s="67">
        <v>11.75</v>
      </c>
      <c r="E8" s="67">
        <v>7.0999999999999994E-2</v>
      </c>
      <c r="F8" s="68">
        <v>-4.8999999999999998E-3</v>
      </c>
      <c r="G8" s="68">
        <v>6.6100000000000006E-2</v>
      </c>
      <c r="H8" s="46">
        <v>0.97904000000000002</v>
      </c>
      <c r="I8" s="67">
        <v>0.20366000000000001</v>
      </c>
      <c r="J8" s="67">
        <v>0.97904000000000002</v>
      </c>
      <c r="K8" s="67">
        <v>1.3469999999999999E-2</v>
      </c>
      <c r="L8" s="78">
        <v>0.99299999999999999</v>
      </c>
      <c r="M8" s="68">
        <v>0.20366000000000001</v>
      </c>
      <c r="N8" s="68">
        <v>6.4750000000000002E-2</v>
      </c>
      <c r="O8" s="70">
        <v>-0.1389</v>
      </c>
      <c r="P8" s="68">
        <v>29.26</v>
      </c>
      <c r="Q8" s="68">
        <v>-4.2279999999999998E-2</v>
      </c>
      <c r="R8" s="68">
        <v>-5.1209999999999999E-2</v>
      </c>
      <c r="S8" s="68">
        <v>4.8300000000000003E-2</v>
      </c>
      <c r="T8" s="68">
        <v>1.78E-2</v>
      </c>
    </row>
    <row r="9" spans="1:20" ht="15.75" thickBot="1">
      <c r="A9" s="48">
        <v>1.2</v>
      </c>
      <c r="B9" s="70">
        <v>14.77</v>
      </c>
      <c r="C9" s="68">
        <v>-0.33</v>
      </c>
      <c r="D9" s="67">
        <v>14.44</v>
      </c>
      <c r="E9" s="67">
        <v>9.9599999999999994E-2</v>
      </c>
      <c r="F9" s="68">
        <v>-7.0000000000000001E-3</v>
      </c>
      <c r="G9" s="68">
        <v>9.2600000000000002E-2</v>
      </c>
      <c r="H9" s="46">
        <v>0.96843000000000001</v>
      </c>
      <c r="I9" s="67">
        <v>0.24929000000000001</v>
      </c>
      <c r="J9" s="67">
        <v>1.16212</v>
      </c>
      <c r="K9" s="67">
        <v>2.308E-2</v>
      </c>
      <c r="L9" s="78">
        <v>1.1850000000000001</v>
      </c>
      <c r="M9" s="68">
        <v>0.29915000000000003</v>
      </c>
      <c r="N9" s="68">
        <v>8.9679999999999996E-2</v>
      </c>
      <c r="O9" s="70">
        <v>-0.20949999999999999</v>
      </c>
      <c r="P9" s="68">
        <v>27.05</v>
      </c>
      <c r="Q9" s="68">
        <v>-2.4299999999999999E-2</v>
      </c>
      <c r="R9" s="68">
        <v>-3.4959999999999998E-2</v>
      </c>
      <c r="S9" s="68">
        <v>6.9599999999999995E-2</v>
      </c>
      <c r="T9" s="68">
        <v>2.3E-2</v>
      </c>
    </row>
    <row r="10" spans="1:20" ht="15.75" thickBot="1">
      <c r="A10" s="48">
        <v>1.4</v>
      </c>
      <c r="B10" s="70">
        <v>18.07</v>
      </c>
      <c r="C10" s="68">
        <v>-0.39</v>
      </c>
      <c r="D10" s="67">
        <v>17.68</v>
      </c>
      <c r="E10" s="67">
        <v>0.13719999999999999</v>
      </c>
      <c r="F10" s="68">
        <v>-9.4999999999999998E-3</v>
      </c>
      <c r="G10" s="68">
        <v>0.12770000000000001</v>
      </c>
      <c r="H10" s="46">
        <v>0.95277000000000001</v>
      </c>
      <c r="I10" s="67">
        <v>0.30370000000000003</v>
      </c>
      <c r="J10" s="67">
        <v>1.33388</v>
      </c>
      <c r="K10" s="67">
        <v>3.8769999999999999E-2</v>
      </c>
      <c r="L10" s="78">
        <v>1.373</v>
      </c>
      <c r="M10" s="68">
        <v>0.42516999999999999</v>
      </c>
      <c r="N10" s="68">
        <v>0.12164</v>
      </c>
      <c r="O10" s="70">
        <v>-0.30349999999999999</v>
      </c>
      <c r="P10" s="68">
        <v>26.58</v>
      </c>
      <c r="Q10" s="68">
        <v>-2.1690000000000001E-2</v>
      </c>
      <c r="R10" s="68">
        <v>-3.4040000000000001E-2</v>
      </c>
      <c r="S10" s="68">
        <v>9.4700000000000006E-2</v>
      </c>
      <c r="T10" s="68">
        <v>3.3000000000000002E-2</v>
      </c>
    </row>
    <row r="11" spans="1:20" ht="15.75" thickBot="1">
      <c r="A11" s="48">
        <v>1.54</v>
      </c>
      <c r="B11" s="70">
        <v>21.9</v>
      </c>
      <c r="C11" s="68">
        <v>-0.43</v>
      </c>
      <c r="D11" s="67">
        <v>21.47</v>
      </c>
      <c r="E11" s="67">
        <v>0.1898</v>
      </c>
      <c r="F11" s="68">
        <v>-1.15E-2</v>
      </c>
      <c r="G11" s="68">
        <v>0.17829999999999999</v>
      </c>
      <c r="H11" s="46">
        <v>0.93061000000000005</v>
      </c>
      <c r="I11" s="67">
        <v>0.36603000000000002</v>
      </c>
      <c r="J11" s="67">
        <v>1.43313</v>
      </c>
      <c r="K11" s="67">
        <v>6.5250000000000002E-2</v>
      </c>
      <c r="L11" s="78">
        <v>1.498</v>
      </c>
      <c r="M11" s="68">
        <v>0.56367999999999996</v>
      </c>
      <c r="N11" s="68">
        <v>0.16589999999999999</v>
      </c>
      <c r="O11" s="70">
        <v>-0.39779999999999999</v>
      </c>
      <c r="P11" s="68">
        <v>26.61</v>
      </c>
      <c r="Q11" s="68">
        <v>-2.4119999999999999E-2</v>
      </c>
      <c r="R11" s="68">
        <v>-3.7609999999999998E-2</v>
      </c>
      <c r="S11" s="68">
        <v>0.11459999999999999</v>
      </c>
      <c r="T11" s="68">
        <v>6.3700000000000007E-2</v>
      </c>
    </row>
    <row r="12" spans="1:20">
      <c r="A12" s="43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</row>
    <row r="13" spans="1:20">
      <c r="A13" s="43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40" spans="1:2">
      <c r="A40" s="2" t="e">
        <f>HLOOKUP($E$3,$C$35:$AP$97,2,FALSE)</f>
        <v>#N/A</v>
      </c>
      <c r="B40" s="7" t="e">
        <f>#REF!-A40</f>
        <v>#REF!</v>
      </c>
    </row>
    <row r="41" spans="1:2">
      <c r="A41" s="3" t="e">
        <f>HLOOKUP($E$3,$C$35:$AP$97,3,FALSE)</f>
        <v>#N/A</v>
      </c>
      <c r="B41" s="8" t="e">
        <f>#REF!-A41</f>
        <v>#REF!</v>
      </c>
    </row>
    <row r="42" spans="1:2">
      <c r="A42" s="3" t="e">
        <f>HLOOKUP($E$3,$C$35:$AP$97,4,FALSE)</f>
        <v>#N/A</v>
      </c>
      <c r="B42" s="8" t="e">
        <f>#REF!-A42</f>
        <v>#REF!</v>
      </c>
    </row>
    <row r="43" spans="1:2">
      <c r="A43" s="3" t="e">
        <f>HLOOKUP($E$3,$C$35:$AP$97,5,FALSE)</f>
        <v>#N/A</v>
      </c>
      <c r="B43" s="8" t="e">
        <f>#REF!-A43</f>
        <v>#REF!</v>
      </c>
    </row>
    <row r="44" spans="1:2">
      <c r="A44" s="3" t="e">
        <f>HLOOKUP($E$3,$C$35:$AP$97,6,FALSE)</f>
        <v>#N/A</v>
      </c>
      <c r="B44" s="8" t="e">
        <f>#REF!-A44</f>
        <v>#REF!</v>
      </c>
    </row>
    <row r="45" spans="1:2">
      <c r="A45" s="3" t="e">
        <f>HLOOKUP($E$3,$C$35:$AP$97,7,FALSE)</f>
        <v>#N/A</v>
      </c>
      <c r="B45" s="8" t="e">
        <f>#REF!-A45</f>
        <v>#REF!</v>
      </c>
    </row>
    <row r="46" spans="1:2">
      <c r="A46" s="3" t="e">
        <f>HLOOKUP($E$3,$C$35:$AP$97,8,FALSE)</f>
        <v>#N/A</v>
      </c>
      <c r="B46" s="8" t="e">
        <f>#REF!-A46</f>
        <v>#REF!</v>
      </c>
    </row>
    <row r="47" spans="1:2">
      <c r="A47" s="3" t="e">
        <f>HLOOKUP($E$3,$C$35:$AP$97,9,FALSE)</f>
        <v>#N/A</v>
      </c>
      <c r="B47" s="8" t="e">
        <f>#REF!-A47</f>
        <v>#REF!</v>
      </c>
    </row>
    <row r="48" spans="1:2">
      <c r="A48" s="3" t="e">
        <f>HLOOKUP($E$3,$C$35:$AP$97,10,FALSE)</f>
        <v>#N/A</v>
      </c>
      <c r="B48" s="8" t="e">
        <f>#REF!-A48</f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D066-5FFA-4D47-A429-3886BEBE2B73}">
  <sheetPr codeName="Sheet2"/>
  <dimension ref="B3:O89"/>
  <sheetViews>
    <sheetView topLeftCell="A45" zoomScaleNormal="70" workbookViewId="0">
      <selection activeCell="D59" sqref="D59"/>
    </sheetView>
  </sheetViews>
  <sheetFormatPr defaultColWidth="8.85546875" defaultRowHeight="15"/>
  <cols>
    <col min="1" max="1" width="16.42578125" customWidth="1"/>
    <col min="2" max="2" width="23.28515625" customWidth="1"/>
    <col min="3" max="7" width="16.28515625" customWidth="1"/>
    <col min="9" max="12" width="13.42578125" customWidth="1"/>
    <col min="13" max="15" width="13.7109375" customWidth="1"/>
  </cols>
  <sheetData>
    <row r="3" spans="2:13" ht="15.75" thickBot="1"/>
    <row r="4" spans="2:13" ht="15.75" thickBot="1">
      <c r="B4" s="348" t="s">
        <v>21</v>
      </c>
      <c r="C4" s="348"/>
      <c r="E4" s="349" t="s">
        <v>22</v>
      </c>
      <c r="F4" s="350"/>
      <c r="G4" s="351"/>
      <c r="I4" s="355" t="s">
        <v>23</v>
      </c>
      <c r="J4" s="356"/>
      <c r="K4" s="356"/>
      <c r="L4" s="356"/>
      <c r="M4" s="357"/>
    </row>
    <row r="5" spans="2:13">
      <c r="B5" s="348"/>
      <c r="C5" s="348"/>
      <c r="E5" s="352"/>
      <c r="F5" s="353"/>
      <c r="G5" s="354"/>
      <c r="I5" s="13" t="s">
        <v>24</v>
      </c>
      <c r="J5" s="13" t="s">
        <v>25</v>
      </c>
      <c r="K5" s="13" t="s">
        <v>26</v>
      </c>
      <c r="L5" s="13" t="s">
        <v>27</v>
      </c>
      <c r="M5" s="13" t="s">
        <v>28</v>
      </c>
    </row>
    <row r="6" spans="2:13" ht="15.75" thickBot="1">
      <c r="I6" s="323" t="s">
        <v>29</v>
      </c>
      <c r="J6" s="323" t="s">
        <v>29</v>
      </c>
      <c r="K6" s="323" t="s">
        <v>30</v>
      </c>
      <c r="L6" s="14" t="s">
        <v>31</v>
      </c>
      <c r="M6" s="14" t="s">
        <v>32</v>
      </c>
    </row>
    <row r="7" spans="2:13" ht="15.75" thickBot="1">
      <c r="B7" s="15" t="s">
        <v>33</v>
      </c>
      <c r="C7" s="16" t="s">
        <v>34</v>
      </c>
      <c r="E7" s="4" t="s">
        <v>35</v>
      </c>
      <c r="F7" s="345">
        <f>2.1+(24000/(C8+10000))</f>
        <v>4.1602180976064549</v>
      </c>
      <c r="G7" s="346"/>
      <c r="I7" s="323" t="s">
        <v>36</v>
      </c>
      <c r="J7" s="323" t="s">
        <v>37</v>
      </c>
      <c r="K7" s="323" t="s">
        <v>38</v>
      </c>
      <c r="L7" s="14" t="s">
        <v>20</v>
      </c>
      <c r="M7" s="14" t="s">
        <v>20</v>
      </c>
    </row>
    <row r="8" spans="2:13">
      <c r="B8" s="17" t="s">
        <v>39</v>
      </c>
      <c r="C8" s="24">
        <v>1649.2520999999999</v>
      </c>
      <c r="E8" s="18" t="s">
        <v>32</v>
      </c>
      <c r="F8" s="345">
        <f>C23*F7</f>
        <v>-1.664087239042582</v>
      </c>
      <c r="G8" s="346"/>
      <c r="I8" s="19">
        <v>0</v>
      </c>
      <c r="J8" s="19">
        <f>I8*22/15</f>
        <v>0</v>
      </c>
      <c r="K8" s="19">
        <f>J8^2</f>
        <v>0</v>
      </c>
      <c r="L8" s="19">
        <f>$F$12*K8</f>
        <v>0</v>
      </c>
      <c r="M8" s="19">
        <f>$F$13*K8</f>
        <v>0</v>
      </c>
    </row>
    <row r="9" spans="2:13">
      <c r="B9" s="17" t="s">
        <v>40</v>
      </c>
      <c r="C9" s="24">
        <v>126.521</v>
      </c>
      <c r="E9" s="4" t="s">
        <v>41</v>
      </c>
      <c r="F9" s="345">
        <f>C11*SQRT(F7)</f>
        <v>117.36231345981878</v>
      </c>
      <c r="G9" s="346"/>
      <c r="I9" s="19">
        <v>10</v>
      </c>
      <c r="J9" s="19">
        <f t="shared" ref="J9:J21" si="0">I9*22/15</f>
        <v>14.666666666666666</v>
      </c>
      <c r="K9" s="19">
        <f t="shared" ref="K9:K21" si="1">J9^2</f>
        <v>215.11111111111109</v>
      </c>
      <c r="L9" s="19">
        <f t="shared" ref="L9:L20" si="2">$F$12*K9</f>
        <v>3.0203604539876347E-2</v>
      </c>
      <c r="M9" s="19">
        <f t="shared" ref="M9:M21" si="3">$F$13*K9</f>
        <v>-1.2081441815950542E-2</v>
      </c>
    </row>
    <row r="10" spans="2:13">
      <c r="B10" s="17" t="s">
        <v>42</v>
      </c>
      <c r="C10" s="321">
        <f>C8/C9</f>
        <v>13.035402028121814</v>
      </c>
      <c r="E10" s="4" t="s">
        <v>43</v>
      </c>
      <c r="F10" s="345">
        <f>(F7*C8)/(0.5*0.002377*((F9*22/15)^2)*C9)</f>
        <v>1.5400016127702989</v>
      </c>
      <c r="G10" s="346"/>
      <c r="I10" s="19">
        <v>20</v>
      </c>
      <c r="J10" s="19">
        <f t="shared" si="0"/>
        <v>29.333333333333332</v>
      </c>
      <c r="K10" s="19">
        <f t="shared" si="1"/>
        <v>860.44444444444434</v>
      </c>
      <c r="L10" s="19">
        <f t="shared" si="2"/>
        <v>0.12081441815950539</v>
      </c>
      <c r="M10" s="19">
        <f t="shared" si="3"/>
        <v>-4.8325767263802166E-2</v>
      </c>
    </row>
    <row r="11" spans="2:13">
      <c r="B11" s="17" t="s">
        <v>44</v>
      </c>
      <c r="C11" s="24">
        <v>57.540100000000002</v>
      </c>
      <c r="E11" s="18" t="s">
        <v>45</v>
      </c>
      <c r="F11" s="345">
        <f>(F8*C8)/(0.5*0.002377*(F9*22/15)^2*C9)</f>
        <v>-0.61600064510811969</v>
      </c>
      <c r="G11" s="346"/>
      <c r="I11" s="19">
        <v>30</v>
      </c>
      <c r="J11" s="19">
        <f t="shared" si="0"/>
        <v>44</v>
      </c>
      <c r="K11" s="19">
        <f t="shared" si="1"/>
        <v>1936</v>
      </c>
      <c r="L11" s="19">
        <f t="shared" si="2"/>
        <v>0.27183244085888714</v>
      </c>
      <c r="M11" s="19">
        <f t="shared" si="3"/>
        <v>-0.10873297634355489</v>
      </c>
    </row>
    <row r="12" spans="2:13">
      <c r="B12" s="20" t="s">
        <v>46</v>
      </c>
      <c r="C12" s="50">
        <v>139.63999999999999</v>
      </c>
      <c r="E12" s="4" t="s">
        <v>47</v>
      </c>
      <c r="F12" s="361">
        <f>(F10*0.5*0.002377)/(C10)</f>
        <v>1.4040931862545824E-4</v>
      </c>
      <c r="G12" s="362"/>
      <c r="I12" s="19">
        <v>40</v>
      </c>
      <c r="J12" s="19">
        <f t="shared" si="0"/>
        <v>58.666666666666664</v>
      </c>
      <c r="K12" s="19">
        <f t="shared" si="1"/>
        <v>3441.7777777777774</v>
      </c>
      <c r="L12" s="19">
        <f t="shared" si="2"/>
        <v>0.48325767263802155</v>
      </c>
      <c r="M12" s="19">
        <f t="shared" si="3"/>
        <v>-0.19330306905520867</v>
      </c>
    </row>
    <row r="13" spans="2:13">
      <c r="B13" s="21" t="s">
        <v>48</v>
      </c>
      <c r="C13" s="24">
        <v>1.54</v>
      </c>
      <c r="E13" s="4" t="s">
        <v>49</v>
      </c>
      <c r="F13" s="361">
        <f>(F11*0.5*0.002377)/(C10)</f>
        <v>-5.6163727450183313E-5</v>
      </c>
      <c r="G13" s="362"/>
      <c r="I13" s="19">
        <v>50</v>
      </c>
      <c r="J13" s="19">
        <f t="shared" si="0"/>
        <v>73.333333333333329</v>
      </c>
      <c r="K13" s="19">
        <f t="shared" si="1"/>
        <v>5377.7777777777774</v>
      </c>
      <c r="L13" s="19">
        <f t="shared" si="2"/>
        <v>0.75509011349690869</v>
      </c>
      <c r="M13" s="19">
        <f t="shared" si="3"/>
        <v>-0.30203604539876355</v>
      </c>
    </row>
    <row r="14" spans="2:13">
      <c r="B14" s="323" t="s">
        <v>50</v>
      </c>
      <c r="C14" s="24">
        <v>6.2126999999999999</v>
      </c>
      <c r="E14" s="4" t="s">
        <v>51</v>
      </c>
      <c r="F14" s="345">
        <f>0.9*C12</f>
        <v>125.67599999999999</v>
      </c>
      <c r="G14" s="346"/>
      <c r="I14" s="19">
        <v>60</v>
      </c>
      <c r="J14" s="19">
        <f t="shared" si="0"/>
        <v>88</v>
      </c>
      <c r="K14" s="19">
        <f t="shared" si="1"/>
        <v>7744</v>
      </c>
      <c r="L14" s="19">
        <f t="shared" si="2"/>
        <v>1.0873297634355485</v>
      </c>
      <c r="M14" s="19">
        <f t="shared" si="3"/>
        <v>-0.43493190537421955</v>
      </c>
    </row>
    <row r="15" spans="2:13">
      <c r="B15" s="323" t="s">
        <v>52</v>
      </c>
      <c r="C15" s="24">
        <v>-1.96</v>
      </c>
      <c r="E15" s="4" t="s">
        <v>53</v>
      </c>
      <c r="F15" s="345">
        <f>C24*SQRT(C10)</f>
        <v>137.19737799465375</v>
      </c>
      <c r="G15" s="346"/>
      <c r="I15" s="19">
        <v>70</v>
      </c>
      <c r="J15" s="19">
        <f t="shared" si="0"/>
        <v>102.66666666666667</v>
      </c>
      <c r="K15" s="19">
        <f t="shared" si="1"/>
        <v>10540.444444444445</v>
      </c>
      <c r="L15" s="19">
        <f t="shared" si="2"/>
        <v>1.4799766224539412</v>
      </c>
      <c r="M15" s="19">
        <f t="shared" si="3"/>
        <v>-0.59199064898157672</v>
      </c>
    </row>
    <row r="16" spans="2:13">
      <c r="B16" s="21" t="s">
        <v>54</v>
      </c>
      <c r="C16" s="24">
        <v>30</v>
      </c>
      <c r="E16" s="22"/>
      <c r="F16" s="22"/>
      <c r="G16" s="22"/>
      <c r="I16" s="19">
        <v>80</v>
      </c>
      <c r="J16" s="19">
        <f t="shared" si="0"/>
        <v>117.33333333333333</v>
      </c>
      <c r="K16" s="19">
        <f t="shared" si="1"/>
        <v>13767.111111111109</v>
      </c>
      <c r="L16" s="19">
        <f t="shared" si="2"/>
        <v>1.9330306905520862</v>
      </c>
      <c r="M16" s="19">
        <f t="shared" si="3"/>
        <v>-0.77321227622083466</v>
      </c>
    </row>
    <row r="17" spans="2:15">
      <c r="B17" s="21" t="s">
        <v>55</v>
      </c>
      <c r="C17" s="24">
        <v>15</v>
      </c>
      <c r="E17" s="4" t="s">
        <v>56</v>
      </c>
      <c r="F17" s="340">
        <f>IF(F14&gt;F15, F14, F15)</f>
        <v>137.19737799465375</v>
      </c>
      <c r="G17" s="340"/>
      <c r="I17" s="19">
        <v>90</v>
      </c>
      <c r="J17" s="19">
        <f t="shared" si="0"/>
        <v>132</v>
      </c>
      <c r="K17" s="19">
        <f t="shared" si="1"/>
        <v>17424</v>
      </c>
      <c r="L17" s="19">
        <f t="shared" si="2"/>
        <v>2.4464919677299846</v>
      </c>
      <c r="M17" s="19">
        <f t="shared" si="3"/>
        <v>-0.97859678709199405</v>
      </c>
    </row>
    <row r="18" spans="2:15">
      <c r="E18" s="4" t="s">
        <v>57</v>
      </c>
      <c r="F18" s="342">
        <f>0.5*((C10^(1/4)))</f>
        <v>0.95006017120611663</v>
      </c>
      <c r="G18" s="342"/>
      <c r="I18" s="19">
        <v>100</v>
      </c>
      <c r="J18" s="19">
        <f t="shared" si="0"/>
        <v>146.66666666666666</v>
      </c>
      <c r="K18" s="19">
        <f t="shared" si="1"/>
        <v>21511.111111111109</v>
      </c>
      <c r="L18" s="19">
        <f t="shared" si="2"/>
        <v>3.0203604539876348</v>
      </c>
      <c r="M18" s="19">
        <f t="shared" si="3"/>
        <v>-1.2081441815950542</v>
      </c>
    </row>
    <row r="19" spans="2:15">
      <c r="B19" s="341" t="s">
        <v>58</v>
      </c>
      <c r="C19" s="341"/>
      <c r="E19" s="4" t="s">
        <v>59</v>
      </c>
      <c r="F19" s="342">
        <f>(0.6)/(C14-C15)*(180/PI())</f>
        <v>4.2063782725230823</v>
      </c>
      <c r="G19" s="342"/>
      <c r="I19" s="19">
        <v>110</v>
      </c>
      <c r="J19" s="19">
        <f t="shared" si="0"/>
        <v>161.33333333333334</v>
      </c>
      <c r="K19" s="19">
        <f t="shared" si="1"/>
        <v>26028.444444444449</v>
      </c>
      <c r="L19" s="19">
        <f t="shared" si="2"/>
        <v>3.654636149325039</v>
      </c>
      <c r="M19" s="19">
        <f t="shared" si="3"/>
        <v>-1.461854459730016</v>
      </c>
    </row>
    <row r="20" spans="2:15">
      <c r="B20" s="23" t="s">
        <v>60</v>
      </c>
      <c r="C20" s="24" t="s">
        <v>61</v>
      </c>
      <c r="E20" s="323" t="s">
        <v>62</v>
      </c>
      <c r="F20" s="25" t="s">
        <v>63</v>
      </c>
      <c r="G20" s="26">
        <f>(F18*C16*F19)/(575*C10)</f>
        <v>1.599515369178111E-2</v>
      </c>
      <c r="I20" s="19">
        <v>117.36231345981878</v>
      </c>
      <c r="J20" s="19">
        <f t="shared" si="0"/>
        <v>172.13139307440088</v>
      </c>
      <c r="K20" s="19">
        <f t="shared" si="1"/>
        <v>29629.216481733903</v>
      </c>
      <c r="L20" s="19">
        <f t="shared" si="2"/>
        <v>4.1602180976064549</v>
      </c>
      <c r="M20" s="19">
        <f t="shared" si="3"/>
        <v>-1.6640872390425823</v>
      </c>
    </row>
    <row r="21" spans="2:15" ht="15.75" thickBot="1">
      <c r="D21" t="s">
        <v>64</v>
      </c>
      <c r="E21" s="27" t="s">
        <v>65</v>
      </c>
      <c r="F21" s="321">
        <f>1+G20*F17</f>
        <v>3.1944931471338744</v>
      </c>
      <c r="G21" s="321">
        <f>1-G20*F17</f>
        <v>-1.1944931471338744</v>
      </c>
      <c r="I21" s="19">
        <v>0</v>
      </c>
      <c r="J21" s="19">
        <f t="shared" si="0"/>
        <v>0</v>
      </c>
      <c r="K21" s="19">
        <f t="shared" si="1"/>
        <v>0</v>
      </c>
      <c r="L21" s="19">
        <f>$F$12*K21</f>
        <v>0</v>
      </c>
      <c r="M21" s="19">
        <f t="shared" si="3"/>
        <v>0</v>
      </c>
    </row>
    <row r="22" spans="2:15">
      <c r="B22" s="343" t="s">
        <v>66</v>
      </c>
      <c r="C22" s="344"/>
    </row>
    <row r="23" spans="2:15" ht="15.75" thickBot="1">
      <c r="B23" s="14" t="s">
        <v>32</v>
      </c>
      <c r="C23" s="322" t="str">
        <f>IF(C20="acrobatic", "-0.5", "-0.4")</f>
        <v>-0.4</v>
      </c>
      <c r="E23" s="323" t="s">
        <v>67</v>
      </c>
      <c r="F23" s="360">
        <f>C25*F15</f>
        <v>205.79606699198064</v>
      </c>
      <c r="G23" s="340"/>
    </row>
    <row r="24" spans="2:15" ht="15.75" thickBot="1">
      <c r="B24" s="323" t="s">
        <v>68</v>
      </c>
      <c r="C24" s="322" t="str">
        <f>IF(C20="acrobatic", "41", "38")</f>
        <v>38</v>
      </c>
      <c r="E24" s="28" t="s">
        <v>62</v>
      </c>
      <c r="F24" s="25" t="s">
        <v>63</v>
      </c>
      <c r="G24" s="26">
        <f>(F18*C17*F19)/(575*C10)</f>
        <v>7.9975768458905548E-3</v>
      </c>
      <c r="I24" s="355" t="s">
        <v>69</v>
      </c>
      <c r="J24" s="358"/>
      <c r="K24" s="359"/>
      <c r="M24" s="355" t="s">
        <v>70</v>
      </c>
      <c r="N24" s="358"/>
      <c r="O24" s="359"/>
    </row>
    <row r="25" spans="2:15">
      <c r="B25" s="323" t="s">
        <v>67</v>
      </c>
      <c r="C25" s="322" t="str">
        <f>IF(C20="acrobatic", "1.55", IF(C20="utility", "1.5", "1.4"))</f>
        <v>1.5</v>
      </c>
      <c r="E25" s="27" t="s">
        <v>65</v>
      </c>
      <c r="F25" s="29">
        <f>1+G24*F23</f>
        <v>2.6458698603504058</v>
      </c>
      <c r="G25" s="321">
        <f>1-G24*F23</f>
        <v>-0.64586986035040583</v>
      </c>
      <c r="I25" s="13" t="s">
        <v>24</v>
      </c>
      <c r="J25" s="13" t="s">
        <v>25</v>
      </c>
      <c r="K25" s="13" t="s">
        <v>26</v>
      </c>
      <c r="M25" s="13" t="s">
        <v>24</v>
      </c>
      <c r="N25" s="13" t="s">
        <v>25</v>
      </c>
      <c r="O25" s="13" t="s">
        <v>26</v>
      </c>
    </row>
    <row r="26" spans="2:15">
      <c r="I26" s="323" t="s">
        <v>29</v>
      </c>
      <c r="J26" s="14" t="s">
        <v>31</v>
      </c>
      <c r="K26" s="14" t="s">
        <v>32</v>
      </c>
      <c r="M26" s="323" t="s">
        <v>29</v>
      </c>
      <c r="N26" s="14" t="s">
        <v>31</v>
      </c>
      <c r="O26" s="14" t="s">
        <v>32</v>
      </c>
    </row>
    <row r="27" spans="2:15">
      <c r="E27" s="30" t="s">
        <v>71</v>
      </c>
      <c r="F27" s="340">
        <f>$C$13+0.5</f>
        <v>2.04</v>
      </c>
      <c r="G27" s="340"/>
      <c r="I27" s="323" t="s">
        <v>36</v>
      </c>
      <c r="J27" s="14" t="s">
        <v>20</v>
      </c>
      <c r="K27" s="14" t="s">
        <v>20</v>
      </c>
      <c r="M27" s="323" t="s">
        <v>36</v>
      </c>
      <c r="N27" s="14" t="s">
        <v>20</v>
      </c>
      <c r="O27" s="14" t="s">
        <v>20</v>
      </c>
    </row>
    <row r="28" spans="2:15">
      <c r="E28" s="23" t="s">
        <v>72</v>
      </c>
      <c r="F28" s="340">
        <f>SQRT(C10*(2/0.002377)*(1/F27))</f>
        <v>73.324234589769674</v>
      </c>
      <c r="G28" s="340"/>
      <c r="I28" s="19">
        <v>0</v>
      </c>
      <c r="J28" s="19">
        <f>1+$G$20*I28</f>
        <v>1</v>
      </c>
      <c r="K28" s="19">
        <f>1-$G$20*I28</f>
        <v>1</v>
      </c>
      <c r="M28" s="19">
        <v>0</v>
      </c>
      <c r="N28" s="19">
        <f>1+$G$24*M28</f>
        <v>1</v>
      </c>
      <c r="O28" s="19">
        <f>1-$G$24*M28</f>
        <v>1</v>
      </c>
    </row>
    <row r="29" spans="2:15">
      <c r="E29" s="23" t="s">
        <v>73</v>
      </c>
      <c r="F29" s="321">
        <f>1.4*C11</f>
        <v>80.556139999999999</v>
      </c>
      <c r="G29" s="321">
        <f>1.8*(F28*(15/22))</f>
        <v>89.988833360171867</v>
      </c>
      <c r="I29" s="19">
        <v>10</v>
      </c>
      <c r="J29" s="19">
        <f t="shared" ref="J29:J42" si="4">1+$G$20*I29</f>
        <v>1.1599515369178111</v>
      </c>
      <c r="K29" s="19">
        <f t="shared" ref="K29:K42" si="5">1-$G$20*I29</f>
        <v>0.84004846308218895</v>
      </c>
      <c r="M29" s="19">
        <v>10</v>
      </c>
      <c r="N29" s="19">
        <f t="shared" ref="N29:N49" si="6">1+$G$24*M29</f>
        <v>1.0799757684589055</v>
      </c>
      <c r="O29" s="19">
        <f t="shared" ref="O29:O49" si="7">1-$G$24*M29</f>
        <v>0.92002423154109447</v>
      </c>
    </row>
    <row r="30" spans="2:15">
      <c r="E30" s="4" t="s">
        <v>74</v>
      </c>
      <c r="F30" s="340">
        <f>IF(F29&gt;G29, F29, G29)</f>
        <v>89.988833360171867</v>
      </c>
      <c r="G30" s="340"/>
      <c r="I30" s="19">
        <v>20</v>
      </c>
      <c r="J30" s="19">
        <f t="shared" si="4"/>
        <v>1.3199030738356221</v>
      </c>
      <c r="K30" s="19">
        <f t="shared" si="5"/>
        <v>0.68009692616437778</v>
      </c>
      <c r="M30" s="19">
        <v>20</v>
      </c>
      <c r="N30" s="19">
        <f t="shared" si="6"/>
        <v>1.1599515369178111</v>
      </c>
      <c r="O30" s="19">
        <f t="shared" si="7"/>
        <v>0.84004846308218895</v>
      </c>
    </row>
    <row r="31" spans="2:15">
      <c r="I31" s="19">
        <v>30</v>
      </c>
      <c r="J31" s="19">
        <f t="shared" si="4"/>
        <v>1.4798546107534332</v>
      </c>
      <c r="K31" s="19">
        <f t="shared" si="5"/>
        <v>0.52014538924656673</v>
      </c>
      <c r="M31" s="19">
        <v>30</v>
      </c>
      <c r="N31" s="19">
        <f t="shared" si="6"/>
        <v>1.2399273053767166</v>
      </c>
      <c r="O31" s="19">
        <f t="shared" si="7"/>
        <v>0.76007269462328342</v>
      </c>
    </row>
    <row r="32" spans="2:15">
      <c r="I32" s="19">
        <v>40</v>
      </c>
      <c r="J32" s="19">
        <f t="shared" si="4"/>
        <v>1.6398061476712444</v>
      </c>
      <c r="K32" s="19">
        <f t="shared" si="5"/>
        <v>0.36019385232875556</v>
      </c>
      <c r="M32" s="19">
        <v>40</v>
      </c>
      <c r="N32" s="19">
        <f t="shared" si="6"/>
        <v>1.3199030738356221</v>
      </c>
      <c r="O32" s="19">
        <f t="shared" si="7"/>
        <v>0.68009692616437778</v>
      </c>
    </row>
    <row r="33" spans="9:15">
      <c r="I33" s="19">
        <v>50</v>
      </c>
      <c r="J33" s="19">
        <f t="shared" si="4"/>
        <v>1.7997576845890555</v>
      </c>
      <c r="K33" s="19">
        <f t="shared" si="5"/>
        <v>0.2002423154109445</v>
      </c>
      <c r="M33" s="19">
        <v>50</v>
      </c>
      <c r="N33" s="19">
        <f t="shared" si="6"/>
        <v>1.3998788422945276</v>
      </c>
      <c r="O33" s="19">
        <f t="shared" si="7"/>
        <v>0.60012115770547225</v>
      </c>
    </row>
    <row r="34" spans="9:15">
      <c r="I34" s="19">
        <v>60</v>
      </c>
      <c r="J34" s="19">
        <f t="shared" si="4"/>
        <v>1.9597092215068665</v>
      </c>
      <c r="K34" s="19">
        <f t="shared" si="5"/>
        <v>4.029077849313345E-2</v>
      </c>
      <c r="M34" s="19">
        <v>60</v>
      </c>
      <c r="N34" s="19">
        <f t="shared" si="6"/>
        <v>1.4798546107534332</v>
      </c>
      <c r="O34" s="19">
        <f t="shared" si="7"/>
        <v>0.52014538924656673</v>
      </c>
    </row>
    <row r="35" spans="9:15">
      <c r="I35" s="19">
        <v>70</v>
      </c>
      <c r="J35" s="19">
        <f t="shared" si="4"/>
        <v>2.1196607584246774</v>
      </c>
      <c r="K35" s="19">
        <f t="shared" si="5"/>
        <v>-0.1196607584246776</v>
      </c>
      <c r="M35" s="19">
        <v>70</v>
      </c>
      <c r="N35" s="19">
        <f t="shared" si="6"/>
        <v>1.5598303792123387</v>
      </c>
      <c r="O35" s="19">
        <f t="shared" si="7"/>
        <v>0.4401696207876612</v>
      </c>
    </row>
    <row r="36" spans="9:15">
      <c r="I36" s="19">
        <v>80</v>
      </c>
      <c r="J36" s="19">
        <f t="shared" si="4"/>
        <v>2.2796122953424889</v>
      </c>
      <c r="K36" s="19">
        <f t="shared" si="5"/>
        <v>-0.27961229534248888</v>
      </c>
      <c r="M36" s="19">
        <v>80</v>
      </c>
      <c r="N36" s="19">
        <f t="shared" si="6"/>
        <v>1.6398061476712444</v>
      </c>
      <c r="O36" s="19">
        <f t="shared" si="7"/>
        <v>0.36019385232875556</v>
      </c>
    </row>
    <row r="37" spans="9:15">
      <c r="I37" s="19">
        <v>90</v>
      </c>
      <c r="J37" s="19">
        <f t="shared" si="4"/>
        <v>2.4395638322602999</v>
      </c>
      <c r="K37" s="19">
        <f t="shared" si="5"/>
        <v>-0.43956383226029994</v>
      </c>
      <c r="M37" s="19">
        <v>90</v>
      </c>
      <c r="N37" s="19">
        <f t="shared" si="6"/>
        <v>1.71978191613015</v>
      </c>
      <c r="O37" s="19">
        <f t="shared" si="7"/>
        <v>0.28021808386985003</v>
      </c>
    </row>
    <row r="38" spans="9:15">
      <c r="I38" s="19">
        <v>100</v>
      </c>
      <c r="J38" s="19">
        <f t="shared" si="4"/>
        <v>2.599515369178111</v>
      </c>
      <c r="K38" s="19">
        <f t="shared" si="5"/>
        <v>-0.59951536917811099</v>
      </c>
      <c r="M38" s="19">
        <v>100</v>
      </c>
      <c r="N38" s="19">
        <f t="shared" si="6"/>
        <v>1.7997576845890555</v>
      </c>
      <c r="O38" s="19">
        <f t="shared" si="7"/>
        <v>0.2002423154109445</v>
      </c>
    </row>
    <row r="39" spans="9:15">
      <c r="I39" s="19">
        <v>110</v>
      </c>
      <c r="J39" s="19">
        <f t="shared" si="4"/>
        <v>2.759466906095922</v>
      </c>
      <c r="K39" s="19">
        <f t="shared" si="5"/>
        <v>-0.75946690609592205</v>
      </c>
      <c r="M39" s="19">
        <v>110</v>
      </c>
      <c r="N39" s="19">
        <f t="shared" si="6"/>
        <v>1.879733453047961</v>
      </c>
      <c r="O39" s="19">
        <f t="shared" si="7"/>
        <v>0.12026654695203898</v>
      </c>
    </row>
    <row r="40" spans="9:15">
      <c r="I40" s="19">
        <v>120</v>
      </c>
      <c r="J40" s="19">
        <f t="shared" si="4"/>
        <v>2.9194184430137331</v>
      </c>
      <c r="K40" s="19">
        <f t="shared" si="5"/>
        <v>-0.9194184430137331</v>
      </c>
      <c r="M40" s="19">
        <v>120</v>
      </c>
      <c r="N40" s="19">
        <f t="shared" si="6"/>
        <v>1.9597092215068665</v>
      </c>
      <c r="O40" s="19">
        <f t="shared" si="7"/>
        <v>4.029077849313345E-2</v>
      </c>
    </row>
    <row r="41" spans="9:15">
      <c r="I41" s="19">
        <v>117.36231345981878</v>
      </c>
      <c r="J41" s="19">
        <f t="shared" si="4"/>
        <v>2.8772282414127921</v>
      </c>
      <c r="K41" s="19">
        <f t="shared" si="5"/>
        <v>-0.8772282414127921</v>
      </c>
      <c r="M41" s="19">
        <v>130</v>
      </c>
      <c r="N41" s="19">
        <f t="shared" si="6"/>
        <v>2.0396849899657719</v>
      </c>
      <c r="O41" s="19">
        <f t="shared" si="7"/>
        <v>-3.9684989965772077E-2</v>
      </c>
    </row>
    <row r="42" spans="9:15">
      <c r="I42" s="19">
        <v>0</v>
      </c>
      <c r="J42" s="19">
        <f t="shared" si="4"/>
        <v>1</v>
      </c>
      <c r="K42" s="19">
        <f t="shared" si="5"/>
        <v>1</v>
      </c>
      <c r="M42" s="19">
        <v>140</v>
      </c>
      <c r="N42" s="19">
        <f t="shared" si="6"/>
        <v>2.1196607584246774</v>
      </c>
      <c r="O42" s="19">
        <f t="shared" si="7"/>
        <v>-0.1196607584246776</v>
      </c>
    </row>
    <row r="43" spans="9:15">
      <c r="M43" s="19">
        <v>150</v>
      </c>
      <c r="N43" s="19">
        <f t="shared" si="6"/>
        <v>2.1996365268835829</v>
      </c>
      <c r="O43" s="19">
        <f t="shared" si="7"/>
        <v>-0.19963652688358313</v>
      </c>
    </row>
    <row r="44" spans="9:15">
      <c r="M44" s="19">
        <v>160</v>
      </c>
      <c r="N44" s="19">
        <f t="shared" si="6"/>
        <v>2.2796122953424889</v>
      </c>
      <c r="O44" s="19">
        <f t="shared" si="7"/>
        <v>-0.27961229534248888</v>
      </c>
    </row>
    <row r="45" spans="9:15">
      <c r="M45" s="19">
        <v>170</v>
      </c>
      <c r="N45" s="19">
        <f t="shared" si="6"/>
        <v>2.3595880638013944</v>
      </c>
      <c r="O45" s="19">
        <f t="shared" si="7"/>
        <v>-0.35958806380139441</v>
      </c>
    </row>
    <row r="46" spans="9:15">
      <c r="M46" s="19">
        <v>180</v>
      </c>
      <c r="N46" s="19">
        <f t="shared" si="6"/>
        <v>2.4395638322602999</v>
      </c>
      <c r="O46" s="19">
        <f t="shared" si="7"/>
        <v>-0.43956383226029994</v>
      </c>
    </row>
    <row r="47" spans="9:15">
      <c r="M47" s="19">
        <v>190</v>
      </c>
      <c r="N47" s="19">
        <f t="shared" si="6"/>
        <v>2.5195396007192055</v>
      </c>
      <c r="O47" s="19">
        <f t="shared" si="7"/>
        <v>-0.51953960071920546</v>
      </c>
    </row>
    <row r="48" spans="9:15">
      <c r="M48" s="19">
        <v>200</v>
      </c>
      <c r="N48" s="19">
        <f t="shared" si="6"/>
        <v>2.599515369178111</v>
      </c>
      <c r="O48" s="19">
        <f t="shared" si="7"/>
        <v>-0.59951536917811099</v>
      </c>
    </row>
    <row r="49" spans="2:15">
      <c r="M49" s="19">
        <v>206.78</v>
      </c>
      <c r="N49" s="19">
        <f t="shared" si="6"/>
        <v>2.6537389401932492</v>
      </c>
      <c r="O49" s="19">
        <f t="shared" si="7"/>
        <v>-0.65373894019324896</v>
      </c>
    </row>
    <row r="55" spans="2:15">
      <c r="B55" s="347" t="s">
        <v>75</v>
      </c>
      <c r="C55" s="347"/>
      <c r="D55" s="347"/>
      <c r="E55" s="347"/>
      <c r="F55" s="347"/>
      <c r="H55" s="347" t="s">
        <v>76</v>
      </c>
      <c r="I55" s="347"/>
      <c r="J55" s="347"/>
      <c r="L55" s="347" t="s">
        <v>77</v>
      </c>
      <c r="M55" s="347"/>
      <c r="N55" s="347"/>
    </row>
    <row r="56" spans="2:15" ht="15.75" thickBot="1">
      <c r="B56" s="320">
        <v>1</v>
      </c>
      <c r="C56" s="320">
        <v>2</v>
      </c>
      <c r="D56" s="320">
        <v>3</v>
      </c>
      <c r="E56" s="320">
        <v>4</v>
      </c>
      <c r="F56" s="320">
        <v>5</v>
      </c>
      <c r="H56" s="320">
        <v>1</v>
      </c>
      <c r="I56" s="320">
        <v>2</v>
      </c>
      <c r="J56" s="320">
        <v>3</v>
      </c>
      <c r="L56" s="320">
        <v>1</v>
      </c>
      <c r="M56" s="320">
        <v>2</v>
      </c>
      <c r="N56" s="320">
        <v>3</v>
      </c>
    </row>
    <row r="57" spans="2:15" ht="15.75" thickBot="1">
      <c r="B57" s="36">
        <v>0</v>
      </c>
      <c r="C57" s="36">
        <f>B57*(22/15)</f>
        <v>0</v>
      </c>
      <c r="D57" s="36">
        <f>C57^2</f>
        <v>0</v>
      </c>
      <c r="E57" s="36" t="e">
        <f>D57*$E$8</f>
        <v>#VALUE!</v>
      </c>
      <c r="F57" s="36" t="e">
        <f>D57*$E$11</f>
        <v>#VALUE!</v>
      </c>
      <c r="H57" s="19">
        <v>0</v>
      </c>
      <c r="I57" s="19">
        <v>1</v>
      </c>
      <c r="J57" s="19">
        <v>1</v>
      </c>
      <c r="L57" s="45">
        <v>0</v>
      </c>
      <c r="M57" s="31">
        <v>1</v>
      </c>
      <c r="N57" s="31">
        <v>1</v>
      </c>
    </row>
    <row r="58" spans="2:15" ht="15.75" thickBot="1">
      <c r="B58" s="36">
        <f>B57+10</f>
        <v>10</v>
      </c>
      <c r="C58" s="36">
        <f t="shared" ref="C58:C69" si="8">B58*(22/15)</f>
        <v>14.666666666666666</v>
      </c>
      <c r="D58" s="36">
        <f t="shared" ref="D58:D68" si="9">C58^2</f>
        <v>215.11111111111109</v>
      </c>
      <c r="E58" s="36" t="e">
        <f t="shared" ref="E58:E68" si="10">D58*$E$8</f>
        <v>#VALUE!</v>
      </c>
      <c r="F58" s="36" t="e">
        <f t="shared" ref="F58:F68" si="11">D58*$E$11</f>
        <v>#VALUE!</v>
      </c>
      <c r="H58" s="19">
        <v>10</v>
      </c>
      <c r="I58" s="19">
        <v>1.1599515369178111</v>
      </c>
      <c r="J58" s="19">
        <v>0.84004846308218895</v>
      </c>
      <c r="L58" s="46">
        <v>10</v>
      </c>
      <c r="M58" s="31">
        <v>1.0799757684589055</v>
      </c>
      <c r="N58" s="31">
        <v>0.92002423154109447</v>
      </c>
    </row>
    <row r="59" spans="2:15" ht="15.75" thickBot="1">
      <c r="B59" s="36">
        <f t="shared" ref="B59:B68" si="12">B58+10</f>
        <v>20</v>
      </c>
      <c r="C59" s="36">
        <f t="shared" si="8"/>
        <v>29.333333333333332</v>
      </c>
      <c r="D59" s="36">
        <f t="shared" si="9"/>
        <v>860.44444444444434</v>
      </c>
      <c r="E59" s="36" t="e">
        <f t="shared" si="10"/>
        <v>#VALUE!</v>
      </c>
      <c r="F59" s="36" t="e">
        <f t="shared" si="11"/>
        <v>#VALUE!</v>
      </c>
      <c r="H59" s="19">
        <v>20</v>
      </c>
      <c r="I59" s="19">
        <v>1.3199030738356221</v>
      </c>
      <c r="J59" s="19">
        <v>0.68009692616437778</v>
      </c>
      <c r="L59" s="46">
        <v>20</v>
      </c>
      <c r="M59" s="31">
        <v>1.1599515369178111</v>
      </c>
      <c r="N59" s="31">
        <v>0.84004846308218895</v>
      </c>
    </row>
    <row r="60" spans="2:15" ht="15.75" thickBot="1">
      <c r="B60" s="36">
        <f t="shared" si="12"/>
        <v>30</v>
      </c>
      <c r="C60" s="36">
        <f t="shared" si="8"/>
        <v>44</v>
      </c>
      <c r="D60" s="36">
        <f t="shared" si="9"/>
        <v>1936</v>
      </c>
      <c r="E60" s="36" t="e">
        <f t="shared" si="10"/>
        <v>#VALUE!</v>
      </c>
      <c r="F60" s="36" t="e">
        <f t="shared" si="11"/>
        <v>#VALUE!</v>
      </c>
      <c r="H60" s="19">
        <v>30</v>
      </c>
      <c r="I60" s="19">
        <v>1.4798546107534332</v>
      </c>
      <c r="J60" s="19">
        <v>0.52014538924656673</v>
      </c>
      <c r="L60" s="46">
        <v>30</v>
      </c>
      <c r="M60" s="31">
        <v>1.2399273053767166</v>
      </c>
      <c r="N60" s="31">
        <v>0.76007269462328342</v>
      </c>
    </row>
    <row r="61" spans="2:15" ht="15.75" thickBot="1">
      <c r="B61" s="36">
        <f t="shared" si="12"/>
        <v>40</v>
      </c>
      <c r="C61" s="36">
        <f t="shared" si="8"/>
        <v>58.666666666666664</v>
      </c>
      <c r="D61" s="36">
        <f t="shared" si="9"/>
        <v>3441.7777777777774</v>
      </c>
      <c r="E61" s="36" t="e">
        <f t="shared" si="10"/>
        <v>#VALUE!</v>
      </c>
      <c r="F61" s="36" t="e">
        <f t="shared" si="11"/>
        <v>#VALUE!</v>
      </c>
      <c r="H61" s="19">
        <v>40</v>
      </c>
      <c r="I61" s="19">
        <v>1.6398061476712444</v>
      </c>
      <c r="J61" s="19">
        <v>0.36019385232875556</v>
      </c>
      <c r="L61" s="46">
        <v>40</v>
      </c>
      <c r="M61" s="31">
        <v>1.3199030738356221</v>
      </c>
      <c r="N61" s="31">
        <v>0.68009692616437778</v>
      </c>
    </row>
    <row r="62" spans="2:15" ht="15.75" thickBot="1">
      <c r="B62" s="36">
        <f t="shared" si="12"/>
        <v>50</v>
      </c>
      <c r="C62" s="36">
        <f t="shared" si="8"/>
        <v>73.333333333333329</v>
      </c>
      <c r="D62" s="36">
        <f t="shared" si="9"/>
        <v>5377.7777777777774</v>
      </c>
      <c r="E62" s="36" t="e">
        <f t="shared" si="10"/>
        <v>#VALUE!</v>
      </c>
      <c r="F62" s="36" t="e">
        <f t="shared" si="11"/>
        <v>#VALUE!</v>
      </c>
      <c r="H62" s="19">
        <v>50</v>
      </c>
      <c r="I62" s="19">
        <v>1.7997576845890555</v>
      </c>
      <c r="J62" s="19">
        <v>0.2002423154109445</v>
      </c>
      <c r="L62" s="46">
        <v>50</v>
      </c>
      <c r="M62" s="31">
        <v>1.3998788422945276</v>
      </c>
      <c r="N62" s="31">
        <v>0.60012115770547225</v>
      </c>
    </row>
    <row r="63" spans="2:15" ht="15.75" thickBot="1">
      <c r="B63" s="36">
        <f t="shared" si="12"/>
        <v>60</v>
      </c>
      <c r="C63" s="36">
        <f t="shared" si="8"/>
        <v>88</v>
      </c>
      <c r="D63" s="36">
        <f t="shared" si="9"/>
        <v>7744</v>
      </c>
      <c r="E63" s="36" t="e">
        <f t="shared" si="10"/>
        <v>#VALUE!</v>
      </c>
      <c r="F63" s="36" t="e">
        <f t="shared" si="11"/>
        <v>#VALUE!</v>
      </c>
      <c r="H63" s="19">
        <v>60</v>
      </c>
      <c r="I63" s="19">
        <v>1.9597092215068665</v>
      </c>
      <c r="J63" s="19">
        <v>4.029077849313345E-2</v>
      </c>
      <c r="L63" s="46">
        <v>60</v>
      </c>
      <c r="M63" s="31">
        <v>1.4798546107534332</v>
      </c>
      <c r="N63" s="31">
        <v>0.52014538924656673</v>
      </c>
    </row>
    <row r="64" spans="2:15" ht="15.75" thickBot="1">
      <c r="B64" s="36">
        <f t="shared" si="12"/>
        <v>70</v>
      </c>
      <c r="C64" s="36">
        <f t="shared" si="8"/>
        <v>102.66666666666666</v>
      </c>
      <c r="D64" s="36">
        <f t="shared" si="9"/>
        <v>10540.444444444442</v>
      </c>
      <c r="E64" s="36" t="e">
        <f t="shared" si="10"/>
        <v>#VALUE!</v>
      </c>
      <c r="F64" s="36" t="e">
        <f t="shared" si="11"/>
        <v>#VALUE!</v>
      </c>
      <c r="H64" s="19">
        <v>70</v>
      </c>
      <c r="I64" s="19">
        <v>2.1196607584246774</v>
      </c>
      <c r="J64" s="19">
        <v>-0.1196607584246776</v>
      </c>
      <c r="L64" s="46">
        <v>70</v>
      </c>
      <c r="M64" s="31">
        <v>1.5598303792123387</v>
      </c>
      <c r="N64" s="31">
        <v>0.4401696207876612</v>
      </c>
    </row>
    <row r="65" spans="2:14" ht="15.75" thickBot="1">
      <c r="B65" s="36">
        <f t="shared" si="12"/>
        <v>80</v>
      </c>
      <c r="C65" s="36">
        <f t="shared" si="8"/>
        <v>117.33333333333333</v>
      </c>
      <c r="D65" s="36">
        <f t="shared" si="9"/>
        <v>13767.111111111109</v>
      </c>
      <c r="E65" s="36" t="e">
        <f t="shared" si="10"/>
        <v>#VALUE!</v>
      </c>
      <c r="F65" s="36" t="e">
        <f t="shared" si="11"/>
        <v>#VALUE!</v>
      </c>
      <c r="H65" s="19">
        <v>80</v>
      </c>
      <c r="I65" s="19">
        <v>2.2796122953424889</v>
      </c>
      <c r="J65" s="19">
        <v>-0.27961229534248888</v>
      </c>
      <c r="L65" s="46">
        <v>80</v>
      </c>
      <c r="M65" s="31">
        <v>1.6398061476712444</v>
      </c>
      <c r="N65" s="31">
        <v>0.36019385232875556</v>
      </c>
    </row>
    <row r="66" spans="2:14" ht="15.75" thickBot="1">
      <c r="B66" s="36">
        <f>B65+10</f>
        <v>90</v>
      </c>
      <c r="C66" s="36">
        <f t="shared" si="8"/>
        <v>132</v>
      </c>
      <c r="D66" s="36">
        <f t="shared" si="9"/>
        <v>17424</v>
      </c>
      <c r="E66" s="36" t="e">
        <f t="shared" si="10"/>
        <v>#VALUE!</v>
      </c>
      <c r="F66" s="36" t="e">
        <f t="shared" si="11"/>
        <v>#VALUE!</v>
      </c>
      <c r="H66" s="19">
        <v>90</v>
      </c>
      <c r="I66" s="19">
        <v>2.4395638322602999</v>
      </c>
      <c r="J66" s="19">
        <v>-0.43956383226029994</v>
      </c>
      <c r="L66" s="46">
        <v>90</v>
      </c>
      <c r="M66" s="31">
        <v>1.71978191613015</v>
      </c>
      <c r="N66" s="31">
        <v>0.28021808386985003</v>
      </c>
    </row>
    <row r="67" spans="2:14" ht="15.75" thickBot="1">
      <c r="B67" s="36">
        <f t="shared" si="12"/>
        <v>100</v>
      </c>
      <c r="C67" s="36">
        <f t="shared" si="8"/>
        <v>146.66666666666666</v>
      </c>
      <c r="D67" s="36">
        <f t="shared" si="9"/>
        <v>21511.111111111109</v>
      </c>
      <c r="E67" s="36" t="e">
        <f t="shared" si="10"/>
        <v>#VALUE!</v>
      </c>
      <c r="F67" s="36" t="e">
        <f t="shared" si="11"/>
        <v>#VALUE!</v>
      </c>
      <c r="H67" s="19">
        <v>100</v>
      </c>
      <c r="I67" s="19">
        <v>2.599515369178111</v>
      </c>
      <c r="J67" s="19">
        <v>-0.59951536917811099</v>
      </c>
      <c r="L67" s="46">
        <v>100</v>
      </c>
      <c r="M67" s="31">
        <v>1.7997576845890555</v>
      </c>
      <c r="N67" s="31">
        <v>0.2002423154109445</v>
      </c>
    </row>
    <row r="68" spans="2:14" ht="15.75" thickBot="1">
      <c r="B68" s="36">
        <f t="shared" si="12"/>
        <v>110</v>
      </c>
      <c r="C68" s="36">
        <f t="shared" si="8"/>
        <v>161.33333333333331</v>
      </c>
      <c r="D68" s="36">
        <f t="shared" si="9"/>
        <v>26028.444444444438</v>
      </c>
      <c r="E68" s="36" t="e">
        <f t="shared" si="10"/>
        <v>#VALUE!</v>
      </c>
      <c r="F68" s="36" t="e">
        <f t="shared" si="11"/>
        <v>#VALUE!</v>
      </c>
      <c r="H68" s="19">
        <v>110</v>
      </c>
      <c r="I68" s="19">
        <v>2.759466906095922</v>
      </c>
      <c r="J68" s="19">
        <v>-0.75946690609592205</v>
      </c>
      <c r="L68" s="46">
        <v>110</v>
      </c>
      <c r="M68" s="31">
        <v>1.879733453047961</v>
      </c>
      <c r="N68" s="31">
        <v>0.12026654695203898</v>
      </c>
    </row>
    <row r="69" spans="2:14" ht="15.75" thickBot="1">
      <c r="B69" s="19">
        <v>117.36</v>
      </c>
      <c r="C69" s="36">
        <f t="shared" si="8"/>
        <v>172.12799999999999</v>
      </c>
      <c r="D69" s="36">
        <f>C69^2</f>
        <v>29628.048383999994</v>
      </c>
      <c r="E69" s="36" t="e">
        <f>D69*$E$8</f>
        <v>#VALUE!</v>
      </c>
      <c r="F69" s="36" t="e">
        <f>D69*$E$11</f>
        <v>#VALUE!</v>
      </c>
      <c r="H69" s="19">
        <v>120</v>
      </c>
      <c r="I69" s="19">
        <v>2.9194184430137331</v>
      </c>
      <c r="J69" s="19">
        <v>-0.9194184430137331</v>
      </c>
      <c r="L69" s="46">
        <v>120</v>
      </c>
      <c r="M69" s="31">
        <v>1.9597092215068665</v>
      </c>
      <c r="N69" s="31">
        <v>4.029077849313345E-2</v>
      </c>
    </row>
    <row r="70" spans="2:14" ht="15.75" thickBot="1">
      <c r="H70" s="19">
        <v>130</v>
      </c>
      <c r="I70" s="19">
        <v>3.0793699799315442</v>
      </c>
      <c r="J70" s="19">
        <v>-1.0793699799315442</v>
      </c>
      <c r="L70" s="46">
        <v>130</v>
      </c>
      <c r="M70" s="31">
        <v>2.0396849899657719</v>
      </c>
      <c r="N70" s="31">
        <v>-3.9684989965772077E-2</v>
      </c>
    </row>
    <row r="71" spans="2:14" ht="15.75" thickBot="1">
      <c r="H71" s="19">
        <v>137.19737799465375</v>
      </c>
      <c r="I71" s="19">
        <v>3.1944931471338744</v>
      </c>
      <c r="J71" s="19">
        <v>-1.1944931471338744</v>
      </c>
      <c r="L71" s="46">
        <v>140</v>
      </c>
      <c r="M71" s="31">
        <v>2.1196607584246774</v>
      </c>
      <c r="N71" s="31">
        <v>-0.1196607584246776</v>
      </c>
    </row>
    <row r="72" spans="2:14" ht="15.75" thickBot="1">
      <c r="H72" s="46"/>
      <c r="I72" s="31"/>
      <c r="J72" s="31"/>
      <c r="L72" s="46">
        <v>150</v>
      </c>
      <c r="M72" s="31">
        <v>2.1996365268835829</v>
      </c>
      <c r="N72" s="31">
        <v>-0.19963652688358313</v>
      </c>
    </row>
    <row r="73" spans="2:14" ht="15.75" thickBot="1">
      <c r="L73" s="46">
        <v>160</v>
      </c>
      <c r="M73" s="31">
        <v>2.2796122953424889</v>
      </c>
      <c r="N73" s="31">
        <v>-0.27961229534248888</v>
      </c>
    </row>
    <row r="74" spans="2:14" ht="15.75" thickBot="1">
      <c r="L74" s="46">
        <v>170</v>
      </c>
      <c r="M74" s="31">
        <v>2.3595880638013944</v>
      </c>
      <c r="N74" s="31">
        <v>-0.35958806380139441</v>
      </c>
    </row>
    <row r="75" spans="2:14" ht="15.75" thickBot="1">
      <c r="L75" s="46">
        <v>180</v>
      </c>
      <c r="M75" s="31">
        <v>2.4395638322602999</v>
      </c>
      <c r="N75" s="31">
        <v>-0.43956383226029994</v>
      </c>
    </row>
    <row r="76" spans="2:14" ht="15.75" thickBot="1">
      <c r="L76" s="46">
        <v>190</v>
      </c>
      <c r="M76" s="31">
        <v>2.5195396007192055</v>
      </c>
      <c r="N76" s="31">
        <v>-0.51953960071920546</v>
      </c>
    </row>
    <row r="77" spans="2:14" ht="15.75" thickBot="1">
      <c r="L77" s="46">
        <v>200</v>
      </c>
      <c r="M77" s="31">
        <v>2.599515369178111</v>
      </c>
      <c r="N77" s="31">
        <v>-0.59951536917811099</v>
      </c>
    </row>
    <row r="78" spans="2:14" ht="15.75" thickBot="1">
      <c r="L78" s="46">
        <v>205.79606699198064</v>
      </c>
      <c r="M78" s="31">
        <v>2.6458698603504058</v>
      </c>
      <c r="N78" s="31">
        <v>-0.64586986035040583</v>
      </c>
    </row>
    <row r="79" spans="2:14" ht="15.75" thickBot="1">
      <c r="B79" s="320" t="s">
        <v>78</v>
      </c>
      <c r="L79" s="46"/>
      <c r="M79" s="31"/>
      <c r="N79" s="31"/>
    </row>
    <row r="80" spans="2:14" ht="15.75" thickBot="1">
      <c r="B80" s="47">
        <v>0</v>
      </c>
    </row>
    <row r="81" spans="2:2" ht="15.75" thickBot="1">
      <c r="B81" s="48">
        <v>10</v>
      </c>
    </row>
    <row r="82" spans="2:2" ht="15.75" thickBot="1">
      <c r="B82" s="48">
        <v>20</v>
      </c>
    </row>
    <row r="83" spans="2:2" ht="15.75" thickBot="1">
      <c r="B83" s="48">
        <v>30</v>
      </c>
    </row>
    <row r="84" spans="2:2" ht="15.75" thickBot="1">
      <c r="B84" s="48">
        <v>40</v>
      </c>
    </row>
    <row r="85" spans="2:2" ht="15.75" thickBot="1">
      <c r="B85" s="48">
        <v>50</v>
      </c>
    </row>
    <row r="86" spans="2:2" ht="15.75" thickBot="1">
      <c r="B86" s="48">
        <v>60</v>
      </c>
    </row>
    <row r="87" spans="2:2" ht="15.75" thickBot="1">
      <c r="B87" s="48">
        <v>70</v>
      </c>
    </row>
    <row r="88" spans="2:2" ht="15.75" thickBot="1">
      <c r="B88" s="48">
        <v>80</v>
      </c>
    </row>
    <row r="89" spans="2:2">
      <c r="B89" s="49">
        <v>89.988833360171867</v>
      </c>
    </row>
  </sheetData>
  <mergeCells count="26">
    <mergeCell ref="B55:F55"/>
    <mergeCell ref="H55:J55"/>
    <mergeCell ref="L55:N55"/>
    <mergeCell ref="F9:G9"/>
    <mergeCell ref="B4:C5"/>
    <mergeCell ref="E4:G5"/>
    <mergeCell ref="I4:M4"/>
    <mergeCell ref="F7:G7"/>
    <mergeCell ref="F8:G8"/>
    <mergeCell ref="I24:K24"/>
    <mergeCell ref="M24:O24"/>
    <mergeCell ref="F23:G23"/>
    <mergeCell ref="F10:G10"/>
    <mergeCell ref="F11:G11"/>
    <mergeCell ref="F12:G12"/>
    <mergeCell ref="F13:G13"/>
    <mergeCell ref="F14:G14"/>
    <mergeCell ref="F15:G15"/>
    <mergeCell ref="F17:G17"/>
    <mergeCell ref="F18:G18"/>
    <mergeCell ref="F27:G27"/>
    <mergeCell ref="F28:G28"/>
    <mergeCell ref="F30:G30"/>
    <mergeCell ref="B19:C19"/>
    <mergeCell ref="F19:G19"/>
    <mergeCell ref="B22:C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E542-8958-4F11-B12E-275067306CB1}">
  <sheetPr codeName="Sheet4"/>
  <dimension ref="A2:AJ59"/>
  <sheetViews>
    <sheetView topLeftCell="A27" zoomScale="125" zoomScaleNormal="115" workbookViewId="0">
      <selection activeCell="D7" sqref="D7"/>
    </sheetView>
  </sheetViews>
  <sheetFormatPr defaultColWidth="8.85546875" defaultRowHeight="15"/>
  <cols>
    <col min="2" max="3" width="9.42578125" bestFit="1" customWidth="1"/>
    <col min="4" max="4" width="9.85546875" bestFit="1" customWidth="1"/>
    <col min="5" max="5" width="9.42578125" bestFit="1" customWidth="1"/>
    <col min="6" max="7" width="9.28515625" bestFit="1" customWidth="1"/>
    <col min="10" max="10" width="11.140625" bestFit="1" customWidth="1"/>
    <col min="18" max="18" width="11.42578125" customWidth="1"/>
    <col min="25" max="25" width="14.140625" bestFit="1" customWidth="1"/>
  </cols>
  <sheetData>
    <row r="2" spans="3:36" ht="15.75" thickBot="1"/>
    <row r="3" spans="3:36" ht="15.75" thickBot="1">
      <c r="C3" s="363" t="s">
        <v>79</v>
      </c>
      <c r="D3" s="364"/>
      <c r="E3" s="364"/>
      <c r="F3" s="364" t="s">
        <v>80</v>
      </c>
      <c r="G3" s="380"/>
      <c r="I3" s="382" t="s">
        <v>81</v>
      </c>
      <c r="J3" s="383"/>
      <c r="K3" s="71"/>
      <c r="L3" s="331" t="s">
        <v>82</v>
      </c>
      <c r="M3" s="335">
        <v>30</v>
      </c>
      <c r="N3" s="23" t="s">
        <v>37</v>
      </c>
      <c r="Q3" s="384" t="s">
        <v>83</v>
      </c>
      <c r="R3" s="385"/>
      <c r="S3" s="182"/>
      <c r="T3" s="331" t="s">
        <v>82</v>
      </c>
      <c r="U3" s="23">
        <v>15</v>
      </c>
      <c r="V3" s="23" t="s">
        <v>37</v>
      </c>
      <c r="X3" s="378" t="s">
        <v>84</v>
      </c>
      <c r="Y3" s="379"/>
      <c r="Z3" s="84"/>
      <c r="AA3" s="84"/>
      <c r="AB3" s="84"/>
      <c r="AC3" s="85"/>
      <c r="AE3" s="376" t="s">
        <v>85</v>
      </c>
      <c r="AF3" s="377"/>
      <c r="AG3" s="71"/>
      <c r="AH3" s="71"/>
      <c r="AI3" s="71"/>
      <c r="AJ3" s="72"/>
    </row>
    <row r="4" spans="3:36" ht="15.75" thickBot="1">
      <c r="C4" s="365"/>
      <c r="D4" s="366"/>
      <c r="E4" s="366"/>
      <c r="F4" s="366"/>
      <c r="G4" s="381"/>
      <c r="I4" s="185" t="s">
        <v>86</v>
      </c>
      <c r="J4" s="54">
        <f>(D18*M3*D12*D19)/(575*D7)</f>
        <v>2.2090800059123206</v>
      </c>
      <c r="K4" s="23"/>
      <c r="N4" s="73"/>
      <c r="Q4" s="57" t="s">
        <v>87</v>
      </c>
      <c r="R4" s="167">
        <f>0.08+(1850/(D5+3000))</f>
        <v>0.47791345833652632</v>
      </c>
      <c r="S4" s="53"/>
      <c r="V4" s="73"/>
      <c r="X4" s="58" t="s">
        <v>88</v>
      </c>
      <c r="Y4" s="30">
        <f>(MAX('ACT 1'!O3:O11))+0.06</f>
        <v>6.8400000000000002E-2</v>
      </c>
      <c r="AA4" s="371" t="s">
        <v>89</v>
      </c>
      <c r="AB4" s="356"/>
      <c r="AC4" s="357"/>
      <c r="AE4" s="57" t="s">
        <v>90</v>
      </c>
      <c r="AF4" s="83">
        <f>(D5)/(0.5*D20*(D17^2)*D6)</f>
        <v>0.62962678176284848</v>
      </c>
      <c r="AG4" s="23"/>
      <c r="AJ4" s="73"/>
    </row>
    <row r="5" spans="3:36" ht="15.75" thickBot="1">
      <c r="C5" s="326" t="s">
        <v>91</v>
      </c>
      <c r="D5" s="166">
        <f>'[1]ACT 3'!$M$7</f>
        <v>1649.2521457653345</v>
      </c>
      <c r="E5" s="325" t="s">
        <v>92</v>
      </c>
      <c r="F5" s="369" t="s">
        <v>93</v>
      </c>
      <c r="G5" s="370"/>
      <c r="I5" s="185" t="s">
        <v>94</v>
      </c>
      <c r="J5" s="54">
        <f>(0.77+(32000/(D5+9200)))*(3.25/(D8^0.435))</f>
        <v>3.9355489382931736</v>
      </c>
      <c r="K5" s="23"/>
      <c r="L5" s="356" t="s">
        <v>95</v>
      </c>
      <c r="M5" s="356"/>
      <c r="N5" s="357"/>
      <c r="Q5" s="58" t="s">
        <v>96</v>
      </c>
      <c r="R5" s="54">
        <f>(29*(D5/D11)^0.5)*(15/22)</f>
        <v>364.61832257271828</v>
      </c>
      <c r="S5" s="23" t="s">
        <v>36</v>
      </c>
      <c r="V5" s="73"/>
      <c r="X5" s="58" t="s">
        <v>97</v>
      </c>
      <c r="Y5" s="55">
        <f>AC7</f>
        <v>-0.60264900662251675</v>
      </c>
      <c r="AB5" s="53" t="s">
        <v>88</v>
      </c>
      <c r="AC5" s="97" t="s">
        <v>97</v>
      </c>
      <c r="AE5" s="58" t="s">
        <v>98</v>
      </c>
      <c r="AF5" s="118">
        <f>AJ8</f>
        <v>-4.2540131297249581E-2</v>
      </c>
      <c r="AG5" s="96"/>
      <c r="AH5" s="371" t="s">
        <v>95</v>
      </c>
      <c r="AI5" s="356"/>
      <c r="AJ5" s="357"/>
    </row>
    <row r="6" spans="3:36" ht="15.75" thickBot="1">
      <c r="C6" s="332" t="s">
        <v>99</v>
      </c>
      <c r="D6" s="36">
        <f>'[1]ACT 3'!$R$14</f>
        <v>126.52100068226807</v>
      </c>
      <c r="E6" s="324" t="s">
        <v>100</v>
      </c>
      <c r="F6" s="367" t="s">
        <v>93</v>
      </c>
      <c r="G6" s="368"/>
      <c r="I6" s="185" t="s">
        <v>101</v>
      </c>
      <c r="J6" s="54">
        <f>MAX(J4:J5)</f>
        <v>3.9355489382931736</v>
      </c>
      <c r="K6" s="23"/>
      <c r="M6" s="53" t="s">
        <v>102</v>
      </c>
      <c r="N6" s="53" t="s">
        <v>103</v>
      </c>
      <c r="Q6" s="58" t="s">
        <v>104</v>
      </c>
      <c r="R6" s="54">
        <f>D12+((R4)*(R5-D12))</f>
        <v>246.36102910780511</v>
      </c>
      <c r="S6" s="96" t="s">
        <v>36</v>
      </c>
      <c r="T6" s="371" t="s">
        <v>95</v>
      </c>
      <c r="U6" s="356"/>
      <c r="V6" s="357"/>
      <c r="X6" s="58" t="s">
        <v>105</v>
      </c>
      <c r="Y6" s="54">
        <f>(Y5*R22)/D7</f>
        <v>-5.3803102255488255</v>
      </c>
      <c r="AA6" s="23" t="s">
        <v>106</v>
      </c>
      <c r="AB6" s="134">
        <v>7.7999999999999996E-3</v>
      </c>
      <c r="AC6" s="131">
        <v>0.2</v>
      </c>
      <c r="AE6" s="58" t="s">
        <v>107</v>
      </c>
      <c r="AF6" s="81">
        <f>AJ12</f>
        <v>0.62918238003640581</v>
      </c>
      <c r="AG6" s="23"/>
      <c r="AI6" s="53" t="s">
        <v>90</v>
      </c>
      <c r="AJ6" s="97" t="s">
        <v>98</v>
      </c>
    </row>
    <row r="7" spans="3:36">
      <c r="C7" s="332" t="s">
        <v>108</v>
      </c>
      <c r="D7" s="36">
        <f>'[1]ACT 3'!$L$45</f>
        <v>13.03540231954929</v>
      </c>
      <c r="E7" s="324" t="s">
        <v>109</v>
      </c>
      <c r="F7" s="367" t="s">
        <v>93</v>
      </c>
      <c r="G7" s="368"/>
      <c r="I7" s="186"/>
      <c r="J7" s="23"/>
      <c r="K7" s="23"/>
      <c r="L7" s="184" t="s">
        <v>106</v>
      </c>
      <c r="M7" s="23">
        <v>1.1850000000000001</v>
      </c>
      <c r="N7" s="23">
        <v>-0.20949999999999999</v>
      </c>
      <c r="O7" s="31"/>
      <c r="Q7" s="58" t="s">
        <v>110</v>
      </c>
      <c r="R7" s="54">
        <f>D12+100</f>
        <v>238.10933598187177</v>
      </c>
      <c r="S7" s="23" t="s">
        <v>36</v>
      </c>
      <c r="T7" s="99"/>
      <c r="U7" s="53" t="s">
        <v>111</v>
      </c>
      <c r="V7" s="53" t="s">
        <v>112</v>
      </c>
      <c r="X7" s="58" t="s">
        <v>113</v>
      </c>
      <c r="Y7" s="177">
        <f>AJ28</f>
        <v>80.624105960264927</v>
      </c>
      <c r="Z7" t="s">
        <v>114</v>
      </c>
      <c r="AA7" s="23" t="s">
        <v>115</v>
      </c>
      <c r="AB7" s="135">
        <v>6.8400000000000002E-2</v>
      </c>
      <c r="AC7" s="106">
        <f>((AB7-AB6)/(AB8-AB6))*(AC8-AC6)+(AC6)</f>
        <v>-0.60264900662251675</v>
      </c>
      <c r="AE7" s="90" t="s">
        <v>116</v>
      </c>
      <c r="AF7" s="54">
        <f>(AF6*Y17)/D7</f>
        <v>0.99929418230082523</v>
      </c>
      <c r="AG7" s="23"/>
      <c r="AH7" s="23" t="s">
        <v>106</v>
      </c>
      <c r="AI7" s="23">
        <v>0.6</v>
      </c>
      <c r="AJ7" s="130">
        <v>-3.6200000000000003E-2</v>
      </c>
    </row>
    <row r="8" spans="3:36" ht="15.75" thickBot="1">
      <c r="C8" s="332" t="s">
        <v>117</v>
      </c>
      <c r="D8" s="36">
        <f>'[1]ACT 3'!$L$42</f>
        <v>13.194017166122675</v>
      </c>
      <c r="E8" s="324" t="s">
        <v>118</v>
      </c>
      <c r="F8" s="367" t="s">
        <v>93</v>
      </c>
      <c r="G8" s="368"/>
      <c r="I8" s="185" t="s">
        <v>119</v>
      </c>
      <c r="J8" s="54">
        <f>1+J6</f>
        <v>4.9355489382931736</v>
      </c>
      <c r="K8" s="23"/>
      <c r="L8" s="184" t="s">
        <v>115</v>
      </c>
      <c r="M8" s="55">
        <f>J10</f>
        <v>1.3193190215283852</v>
      </c>
      <c r="N8" s="82">
        <f>((M8-M7)/(M9-M7))*(N9-N7)+(N7)</f>
        <v>-0.2766595107641926</v>
      </c>
      <c r="O8" s="31"/>
      <c r="Q8" s="58" t="s">
        <v>120</v>
      </c>
      <c r="R8" s="54">
        <f>1.5*D12</f>
        <v>207.16400397280765</v>
      </c>
      <c r="S8" s="96" t="s">
        <v>36</v>
      </c>
      <c r="T8" s="23" t="s">
        <v>106</v>
      </c>
      <c r="U8" s="55">
        <v>0.2</v>
      </c>
      <c r="V8" s="116">
        <v>43.02</v>
      </c>
      <c r="X8" s="58" t="s">
        <v>121</v>
      </c>
      <c r="Y8" s="178">
        <f>AJ32</f>
        <v>-3.6785231788079471E-2</v>
      </c>
      <c r="AA8" s="23" t="s">
        <v>122</v>
      </c>
      <c r="AB8" s="134">
        <v>-7.3000000000000001E-3</v>
      </c>
      <c r="AC8" s="131">
        <v>0.4</v>
      </c>
      <c r="AE8" s="58" t="s">
        <v>123</v>
      </c>
      <c r="AF8" s="115">
        <f>AJ16</f>
        <v>31.040015378480618</v>
      </c>
      <c r="AG8" s="23"/>
      <c r="AH8" s="23" t="s">
        <v>115</v>
      </c>
      <c r="AI8" s="55">
        <f>AF4</f>
        <v>0.62962678176284848</v>
      </c>
      <c r="AJ8" s="105">
        <f>((AI8-AI7)/(AI9-AI7))*(AJ9-AJ7)+(AJ7)</f>
        <v>-4.2540131297249581E-2</v>
      </c>
    </row>
    <row r="9" spans="3:36">
      <c r="C9" s="332" t="s">
        <v>124</v>
      </c>
      <c r="D9" s="36">
        <f>'[1]ACT 3'!$R$16</f>
        <v>4.3849875262317353</v>
      </c>
      <c r="E9" s="324" t="s">
        <v>125</v>
      </c>
      <c r="F9" s="367" t="s">
        <v>93</v>
      </c>
      <c r="G9" s="368"/>
      <c r="I9" s="185" t="s">
        <v>126</v>
      </c>
      <c r="J9" s="54">
        <f>(1/2)*(D20)*(D13)^2</f>
        <v>48.76520767808217</v>
      </c>
      <c r="K9" s="23" t="s">
        <v>109</v>
      </c>
      <c r="L9" s="184" t="s">
        <v>122</v>
      </c>
      <c r="M9" s="23">
        <v>1.373</v>
      </c>
      <c r="N9" s="23">
        <v>-0.30349999999999999</v>
      </c>
      <c r="O9" s="31"/>
      <c r="Q9" s="90" t="s">
        <v>127</v>
      </c>
      <c r="R9" s="54">
        <f>(D18*U3*(MAX(R6:R8))*D19)/(575*D7)</f>
        <v>1.9702912180733074</v>
      </c>
      <c r="S9" s="96"/>
      <c r="T9" s="23" t="s">
        <v>115</v>
      </c>
      <c r="U9" s="55">
        <f>R12</f>
        <v>0.41462344271641743</v>
      </c>
      <c r="V9" s="117">
        <f>((U9-U8)/(U10-U8))*(V10-V8)+(V8)</f>
        <v>32.964891708735841</v>
      </c>
      <c r="X9" s="58" t="s">
        <v>128</v>
      </c>
      <c r="Y9" s="54">
        <f>Y5*R11*D6</f>
        <v>-11831.317579159429</v>
      </c>
      <c r="Z9" t="s">
        <v>92</v>
      </c>
      <c r="AB9" s="39">
        <f>Y5</f>
        <v>-0.60264900662251675</v>
      </c>
      <c r="AE9" s="58" t="s">
        <v>129</v>
      </c>
      <c r="AF9" s="100">
        <f>AJ20</f>
        <v>-4.3374367124861334E-2</v>
      </c>
      <c r="AG9" s="23"/>
      <c r="AH9" s="23" t="s">
        <v>122</v>
      </c>
      <c r="AI9" s="23">
        <v>0.8</v>
      </c>
      <c r="AJ9" s="130">
        <v>-7.9000000000000001E-2</v>
      </c>
    </row>
    <row r="10" spans="3:36">
      <c r="C10" s="372" t="s">
        <v>130</v>
      </c>
      <c r="D10" s="4">
        <f>'[1]ACT 9'!$S$27</f>
        <v>0.45058173000000001</v>
      </c>
      <c r="E10" s="324" t="s">
        <v>131</v>
      </c>
      <c r="F10" s="367" t="s">
        <v>132</v>
      </c>
      <c r="G10" s="368"/>
      <c r="I10" s="185" t="s">
        <v>133</v>
      </c>
      <c r="J10" s="55">
        <f>(J8*D7)/J9</f>
        <v>1.3193190215283852</v>
      </c>
      <c r="K10" s="23"/>
      <c r="N10" s="73"/>
      <c r="Q10" s="58" t="s">
        <v>134</v>
      </c>
      <c r="R10" s="54">
        <f>MAX(R9,J5)+1</f>
        <v>4.9355489382931736</v>
      </c>
      <c r="S10" s="96"/>
      <c r="T10" s="23" t="s">
        <v>122</v>
      </c>
      <c r="U10" s="55">
        <v>0.4</v>
      </c>
      <c r="V10" s="116">
        <v>33.65</v>
      </c>
      <c r="X10" s="58" t="s">
        <v>135</v>
      </c>
      <c r="Y10" s="54">
        <f>Y4*R11*D6</f>
        <v>1342.8415437867054</v>
      </c>
      <c r="Z10" t="s">
        <v>92</v>
      </c>
      <c r="AB10">
        <v>0</v>
      </c>
      <c r="AC10" s="73"/>
      <c r="AE10" s="58" t="s">
        <v>136</v>
      </c>
      <c r="AF10" s="54">
        <f>AF6*Y17*D6</f>
        <v>1648.0880744104511</v>
      </c>
      <c r="AG10" s="23" t="s">
        <v>92</v>
      </c>
      <c r="AI10" s="23" t="s">
        <v>98</v>
      </c>
      <c r="AJ10" s="86" t="s">
        <v>107</v>
      </c>
    </row>
    <row r="11" spans="3:36" ht="15.75" thickBot="1">
      <c r="C11" s="373"/>
      <c r="D11" s="4">
        <f>D10*10.7639</f>
        <v>4.8500166835469996</v>
      </c>
      <c r="E11" s="324" t="s">
        <v>100</v>
      </c>
      <c r="F11" s="367"/>
      <c r="G11" s="368"/>
      <c r="I11" s="185" t="s">
        <v>137</v>
      </c>
      <c r="J11" s="30">
        <f>-0.02*J10</f>
        <v>-2.6386380430567704E-2</v>
      </c>
      <c r="K11" s="23"/>
      <c r="N11" s="73"/>
      <c r="Q11" s="58" t="s">
        <v>138</v>
      </c>
      <c r="R11" s="54">
        <f>(0.5)*(D20)*(MAX(R6:R8)*(22/15))^2</f>
        <v>155.16938853474139</v>
      </c>
      <c r="S11" t="s">
        <v>109</v>
      </c>
      <c r="T11" s="98"/>
      <c r="U11" s="23" t="s">
        <v>111</v>
      </c>
      <c r="V11" s="23" t="s">
        <v>139</v>
      </c>
      <c r="X11" s="91" t="s">
        <v>140</v>
      </c>
      <c r="Y11" s="54">
        <f>Y8*Y17*D6*D9</f>
        <v>-422.518494968759</v>
      </c>
      <c r="Z11" t="s">
        <v>141</v>
      </c>
      <c r="AA11" s="52"/>
      <c r="AB11" s="52">
        <v>0.2</v>
      </c>
      <c r="AC11" s="75"/>
      <c r="AE11" s="58" t="s">
        <v>142</v>
      </c>
      <c r="AF11" s="54">
        <f>AF5*Y17*D6</f>
        <v>-111.43014378564628</v>
      </c>
      <c r="AG11" s="23"/>
      <c r="AH11" s="23" t="s">
        <v>106</v>
      </c>
      <c r="AI11" s="30">
        <f>AJ7</f>
        <v>-3.6200000000000003E-2</v>
      </c>
      <c r="AJ11" s="131">
        <v>0.6</v>
      </c>
    </row>
    <row r="12" spans="3:36" ht="24.75" thickBot="1">
      <c r="C12" s="372" t="s">
        <v>143</v>
      </c>
      <c r="D12" s="36">
        <f>'[1]ACT 11'!$P$34</f>
        <v>138.10933598187177</v>
      </c>
      <c r="E12" s="324" t="s">
        <v>36</v>
      </c>
      <c r="F12" s="367" t="s">
        <v>144</v>
      </c>
      <c r="G12" s="368"/>
      <c r="I12" s="187" t="s">
        <v>145</v>
      </c>
      <c r="J12" s="118">
        <f>MIN(N8,J11)</f>
        <v>-0.2766595107641926</v>
      </c>
      <c r="K12" s="23" t="s">
        <v>146</v>
      </c>
      <c r="N12" s="73"/>
      <c r="Q12" s="58" t="s">
        <v>147</v>
      </c>
      <c r="R12" s="55">
        <f>(R10*D7)/(R11)</f>
        <v>0.41462344271641743</v>
      </c>
      <c r="S12" s="96"/>
      <c r="T12" s="23" t="s">
        <v>106</v>
      </c>
      <c r="U12" s="55">
        <v>0.2</v>
      </c>
      <c r="V12" s="30">
        <v>-3.7870000000000001E-2</v>
      </c>
      <c r="AE12" s="58" t="s">
        <v>148</v>
      </c>
      <c r="AF12" s="54">
        <f>AF9*Y17*D6*D9</f>
        <v>-498.20189861513018</v>
      </c>
      <c r="AG12" s="23" t="s">
        <v>141</v>
      </c>
      <c r="AH12" s="23" t="s">
        <v>115</v>
      </c>
      <c r="AI12" s="30">
        <f t="shared" ref="AI12:AI13" si="0">AJ8</f>
        <v>-4.2540131297249581E-2</v>
      </c>
      <c r="AJ12" s="106">
        <f>((AI12-AI11)/(AI13-AI11))*(AJ13-AJ11)+(AJ11)</f>
        <v>0.62918238003640581</v>
      </c>
    </row>
    <row r="13" spans="3:36" ht="15.75" thickBot="1">
      <c r="C13" s="373"/>
      <c r="D13" s="36">
        <f>D12*1.46667</f>
        <v>202.56081980453186</v>
      </c>
      <c r="E13" s="324" t="s">
        <v>37</v>
      </c>
      <c r="F13" s="367"/>
      <c r="G13" s="368"/>
      <c r="I13" s="185" t="s">
        <v>149</v>
      </c>
      <c r="J13" s="23">
        <f>'ACT 1'!P11</f>
        <v>26.61</v>
      </c>
      <c r="K13" s="23" t="s">
        <v>114</v>
      </c>
      <c r="N13" s="73"/>
      <c r="Q13" s="58" t="s">
        <v>150</v>
      </c>
      <c r="R13" s="23">
        <v>0</v>
      </c>
      <c r="S13" s="96"/>
      <c r="T13" s="23" t="s">
        <v>115</v>
      </c>
      <c r="U13" s="55">
        <v>0.33100000000000002</v>
      </c>
      <c r="V13" s="118">
        <f>((U13-U12)/(U14-U12))*(V14-V12)+(V12)</f>
        <v>-3.8105800000000002E-2</v>
      </c>
      <c r="X13" s="376" t="s">
        <v>151</v>
      </c>
      <c r="Y13" s="377"/>
      <c r="Z13" s="71"/>
      <c r="AA13" s="331" t="s">
        <v>82</v>
      </c>
      <c r="AB13" s="23">
        <v>15</v>
      </c>
      <c r="AC13" s="23" t="s">
        <v>37</v>
      </c>
      <c r="AE13" s="51"/>
      <c r="AH13" s="23" t="s">
        <v>122</v>
      </c>
      <c r="AI13" s="30">
        <f t="shared" si="0"/>
        <v>-7.9000000000000001E-2</v>
      </c>
      <c r="AJ13" s="131">
        <v>0.79700000000000004</v>
      </c>
    </row>
    <row r="14" spans="3:36">
      <c r="C14" s="332" t="s">
        <v>152</v>
      </c>
      <c r="D14" s="335">
        <v>1.53</v>
      </c>
      <c r="E14" s="324"/>
      <c r="F14" s="367" t="s">
        <v>153</v>
      </c>
      <c r="G14" s="368"/>
      <c r="I14" s="185" t="s">
        <v>154</v>
      </c>
      <c r="J14" s="56">
        <f>(D15-(J13/100))*(J10)</f>
        <v>-3.3114907440362482E-2</v>
      </c>
      <c r="K14" s="23"/>
      <c r="N14" s="73"/>
      <c r="Q14" s="58" t="s">
        <v>155</v>
      </c>
      <c r="R14" s="115">
        <f>V9</f>
        <v>32.964891708735841</v>
      </c>
      <c r="S14" s="96" t="s">
        <v>114</v>
      </c>
      <c r="T14" s="23" t="s">
        <v>122</v>
      </c>
      <c r="U14" s="55">
        <v>0.4</v>
      </c>
      <c r="V14" s="30">
        <v>-3.823E-2</v>
      </c>
      <c r="X14" s="121" t="s">
        <v>156</v>
      </c>
      <c r="Y14" s="83">
        <f>(D18*AB13*D16*D19)/(575*D7)</f>
        <v>0.7196925939801232</v>
      </c>
      <c r="Z14" s="23"/>
      <c r="AC14" s="73"/>
      <c r="AE14" s="51"/>
      <c r="AI14" s="23" t="s">
        <v>107</v>
      </c>
      <c r="AJ14" s="86" t="s">
        <v>123</v>
      </c>
    </row>
    <row r="15" spans="3:36">
      <c r="C15" s="332" t="s">
        <v>157</v>
      </c>
      <c r="D15" s="335">
        <v>0.24099999999999999</v>
      </c>
      <c r="E15" s="335"/>
      <c r="F15" s="367" t="s">
        <v>158</v>
      </c>
      <c r="G15" s="368"/>
      <c r="I15" s="185" t="s">
        <v>159</v>
      </c>
      <c r="J15" s="54">
        <f>(J10*J9*D6)</f>
        <v>8139.9646770098343</v>
      </c>
      <c r="K15" s="23" t="s">
        <v>92</v>
      </c>
      <c r="N15" s="73"/>
      <c r="Q15" s="58" t="s">
        <v>160</v>
      </c>
      <c r="R15" s="100">
        <f>V13</f>
        <v>-3.8105800000000002E-2</v>
      </c>
      <c r="S15" s="23"/>
      <c r="V15" s="73"/>
      <c r="X15" s="90" t="s">
        <v>161</v>
      </c>
      <c r="Y15" s="54">
        <f>1+Y14</f>
        <v>1.7196925939801231</v>
      </c>
      <c r="Z15" s="23" t="s">
        <v>162</v>
      </c>
      <c r="AC15" s="73"/>
      <c r="AE15" s="51"/>
      <c r="AH15" s="23" t="s">
        <v>106</v>
      </c>
      <c r="AI15" s="30">
        <v>0.6</v>
      </c>
      <c r="AJ15" s="102">
        <v>31.2</v>
      </c>
    </row>
    <row r="16" spans="3:36">
      <c r="C16" s="372" t="s">
        <v>163</v>
      </c>
      <c r="D16" s="36">
        <f>'ACT 2 v2'!AQ9</f>
        <v>89.988833360171867</v>
      </c>
      <c r="E16" s="324" t="s">
        <v>36</v>
      </c>
      <c r="F16" s="367" t="s">
        <v>164</v>
      </c>
      <c r="G16" s="368"/>
      <c r="I16" s="185" t="s">
        <v>165</v>
      </c>
      <c r="J16" s="54">
        <f>(J12*J9*D6)</f>
        <v>-1706.9401777975486</v>
      </c>
      <c r="K16" s="23" t="s">
        <v>92</v>
      </c>
      <c r="N16" s="73"/>
      <c r="Q16" s="58" t="s">
        <v>166</v>
      </c>
      <c r="R16" s="54">
        <f>R12*R11*D6</f>
        <v>8139.9646770098343</v>
      </c>
      <c r="S16" s="23" t="s">
        <v>92</v>
      </c>
      <c r="V16" s="73"/>
      <c r="X16" s="133" t="s">
        <v>167</v>
      </c>
      <c r="Y16" s="23">
        <v>2</v>
      </c>
      <c r="Z16" s="23"/>
      <c r="AC16" s="73"/>
      <c r="AE16" s="51"/>
      <c r="AH16" s="23" t="s">
        <v>115</v>
      </c>
      <c r="AI16" s="30">
        <f>AJ12</f>
        <v>0.62918238003640581</v>
      </c>
      <c r="AJ16" s="95">
        <f>((AI16-AI15)/(AI17-AI15))*(AJ17-AJ15)+(AJ15)</f>
        <v>31.040015378480618</v>
      </c>
    </row>
    <row r="17" spans="1:36" ht="15.75" thickBot="1">
      <c r="C17" s="373"/>
      <c r="D17" s="36">
        <f>D16*1.46667</f>
        <v>131.98392222436325</v>
      </c>
      <c r="E17" s="324" t="s">
        <v>37</v>
      </c>
      <c r="F17" s="367"/>
      <c r="G17" s="368"/>
      <c r="I17" s="185" t="s">
        <v>168</v>
      </c>
      <c r="J17" s="54">
        <f>(J14*J9*D6*D9)</f>
        <v>-895.91045367364234</v>
      </c>
      <c r="K17" s="23" t="s">
        <v>141</v>
      </c>
      <c r="L17" s="52"/>
      <c r="M17" s="52"/>
      <c r="N17" s="75"/>
      <c r="Q17" s="58" t="s">
        <v>169</v>
      </c>
      <c r="R17" s="54">
        <f>R13*D6</f>
        <v>0</v>
      </c>
      <c r="S17" s="23"/>
      <c r="U17" s="80"/>
      <c r="V17" s="88"/>
      <c r="X17" s="58" t="s">
        <v>170</v>
      </c>
      <c r="Y17" s="54">
        <f>(1/2)*D20*D17^2</f>
        <v>20.703379680026266</v>
      </c>
      <c r="Z17" s="23"/>
      <c r="AC17" s="73"/>
      <c r="AE17" s="51"/>
      <c r="AH17" s="23" t="s">
        <v>122</v>
      </c>
      <c r="AI17" s="30">
        <v>0.79700000000000004</v>
      </c>
      <c r="AJ17" s="102">
        <v>30.12</v>
      </c>
    </row>
    <row r="18" spans="1:36" ht="15.75" thickBot="1">
      <c r="C18" s="332" t="s">
        <v>57</v>
      </c>
      <c r="D18" s="4">
        <f>'ACT 2 v2'!Q9</f>
        <v>0.95006017120611663</v>
      </c>
      <c r="E18" s="335"/>
      <c r="F18" s="367" t="s">
        <v>164</v>
      </c>
      <c r="G18" s="368"/>
      <c r="Q18" s="91" t="s">
        <v>171</v>
      </c>
      <c r="R18" s="93">
        <f>V13*R11*D6*D9</f>
        <v>-3280.4098927448886</v>
      </c>
      <c r="S18" s="5" t="s">
        <v>141</v>
      </c>
      <c r="T18" s="52"/>
      <c r="U18" s="89"/>
      <c r="V18" s="68"/>
      <c r="X18" s="108" t="s">
        <v>172</v>
      </c>
      <c r="Y18" s="55">
        <f>(2*D7)/Y17</f>
        <v>1.259253563525697</v>
      </c>
      <c r="Z18" s="96"/>
      <c r="AA18" s="371" t="s">
        <v>95</v>
      </c>
      <c r="AB18" s="356"/>
      <c r="AC18" s="357"/>
      <c r="AE18" s="51"/>
      <c r="AI18" s="23" t="s">
        <v>107</v>
      </c>
      <c r="AJ18" s="86" t="s">
        <v>129</v>
      </c>
    </row>
    <row r="19" spans="1:36" ht="15.75" thickBot="1">
      <c r="C19" s="332" t="s">
        <v>173</v>
      </c>
      <c r="D19" s="36">
        <f>'ACT 2 v2'!Q22</f>
        <v>4.2063782725230823</v>
      </c>
      <c r="E19" s="324" t="s">
        <v>174</v>
      </c>
      <c r="F19" s="367" t="s">
        <v>164</v>
      </c>
      <c r="G19" s="368"/>
      <c r="X19" s="58" t="s">
        <v>175</v>
      </c>
      <c r="Y19" s="30">
        <f>AC21</f>
        <v>-0.24662678176284847</v>
      </c>
      <c r="Z19" s="23"/>
      <c r="AB19" s="53" t="s">
        <v>172</v>
      </c>
      <c r="AC19" s="97" t="s">
        <v>175</v>
      </c>
      <c r="AE19" s="51"/>
      <c r="AH19" s="23" t="s">
        <v>106</v>
      </c>
      <c r="AI19" s="30">
        <v>0.6</v>
      </c>
      <c r="AJ19" s="103">
        <v>-4.2569999999999997E-2</v>
      </c>
    </row>
    <row r="20" spans="1:36" ht="15.75" thickBot="1">
      <c r="C20" s="59" t="s">
        <v>176</v>
      </c>
      <c r="D20" s="60">
        <v>2.3770000000000002E-3</v>
      </c>
      <c r="E20" s="327" t="s">
        <v>177</v>
      </c>
      <c r="F20" s="374" t="s">
        <v>164</v>
      </c>
      <c r="G20" s="375"/>
      <c r="I20" s="382" t="s">
        <v>178</v>
      </c>
      <c r="J20" s="383"/>
      <c r="K20" s="71"/>
      <c r="L20" s="371" t="s">
        <v>95</v>
      </c>
      <c r="M20" s="356"/>
      <c r="N20" s="357"/>
      <c r="Q20" s="384" t="s">
        <v>179</v>
      </c>
      <c r="R20" s="385"/>
      <c r="S20" s="84"/>
      <c r="T20" s="84"/>
      <c r="U20" s="84"/>
      <c r="V20" s="85"/>
      <c r="X20" s="58" t="s">
        <v>180</v>
      </c>
      <c r="Y20" s="54">
        <f>AC25</f>
        <v>26.864366091185758</v>
      </c>
      <c r="Z20" s="23" t="s">
        <v>114</v>
      </c>
      <c r="AA20" s="23" t="s">
        <v>106</v>
      </c>
      <c r="AB20" s="23">
        <v>1.1850000000000001</v>
      </c>
      <c r="AC20" s="86">
        <v>-0.20949999999999999</v>
      </c>
      <c r="AE20" s="51"/>
      <c r="AF20" s="80"/>
      <c r="AG20" s="112"/>
      <c r="AH20" s="23" t="s">
        <v>115</v>
      </c>
      <c r="AI20" s="30">
        <f>AI16</f>
        <v>0.62918238003640581</v>
      </c>
      <c r="AJ20" s="107">
        <f>((AI20-AI19)/(AI21-AI19))*(AJ21-AJ19)+(AJ19)</f>
        <v>-4.3374367124861334E-2</v>
      </c>
    </row>
    <row r="21" spans="1:36" ht="15.75" thickBot="1">
      <c r="I21" s="186" t="s">
        <v>181</v>
      </c>
      <c r="J21" s="54">
        <f>J8</f>
        <v>4.9355489382931736</v>
      </c>
      <c r="K21" s="23"/>
      <c r="M21" s="53" t="s">
        <v>102</v>
      </c>
      <c r="N21" s="53" t="s">
        <v>182</v>
      </c>
      <c r="Q21" s="58" t="s">
        <v>183</v>
      </c>
      <c r="R21" s="31">
        <f>R10</f>
        <v>4.9355489382931736</v>
      </c>
      <c r="V21" s="73"/>
      <c r="X21" s="58" t="s">
        <v>184</v>
      </c>
      <c r="Y21" s="56">
        <f>AC29</f>
        <v>-3.4596631497640203E-2</v>
      </c>
      <c r="Z21" s="23"/>
      <c r="AA21" s="23" t="s">
        <v>115</v>
      </c>
      <c r="AB21" s="55">
        <v>1.259253563525697</v>
      </c>
      <c r="AC21" s="105">
        <f>((AB21-AB20)/(AB22-AB20))*(AC22-AC20)+(AC20)</f>
        <v>-0.24662678176284847</v>
      </c>
      <c r="AE21" s="76"/>
      <c r="AF21" s="89"/>
      <c r="AG21" s="132"/>
      <c r="AH21" s="5" t="s">
        <v>122</v>
      </c>
      <c r="AI21" s="120">
        <v>0.79700000000000004</v>
      </c>
      <c r="AJ21" s="122">
        <v>-4.8000000000000001E-2</v>
      </c>
    </row>
    <row r="22" spans="1:36" ht="30.75" thickBot="1">
      <c r="A22" s="174" t="s">
        <v>185</v>
      </c>
      <c r="B22" s="175" t="s">
        <v>186</v>
      </c>
      <c r="C22" s="175" t="s">
        <v>187</v>
      </c>
      <c r="D22" s="175" t="s">
        <v>188</v>
      </c>
      <c r="E22" s="175" t="s">
        <v>189</v>
      </c>
      <c r="F22" s="176" t="s">
        <v>190</v>
      </c>
      <c r="I22" s="186" t="s">
        <v>191</v>
      </c>
      <c r="J22" s="55">
        <f>J10</f>
        <v>1.3193190215283852</v>
      </c>
      <c r="K22" s="23"/>
      <c r="L22" s="184" t="s">
        <v>106</v>
      </c>
      <c r="M22" s="54">
        <v>1.2</v>
      </c>
      <c r="N22" s="23">
        <v>27.05</v>
      </c>
      <c r="Q22" s="58" t="s">
        <v>192</v>
      </c>
      <c r="R22" s="31">
        <f>0.75*R11</f>
        <v>116.37704140105603</v>
      </c>
      <c r="S22" t="s">
        <v>109</v>
      </c>
      <c r="V22" s="73"/>
      <c r="X22" s="58" t="s">
        <v>193</v>
      </c>
      <c r="Y22" s="54">
        <f>Y18*Y17*D6</f>
        <v>3298.504291530669</v>
      </c>
      <c r="Z22" s="23" t="s">
        <v>92</v>
      </c>
      <c r="AA22" s="23" t="s">
        <v>122</v>
      </c>
      <c r="AB22" s="23">
        <v>1.373</v>
      </c>
      <c r="AC22" s="86">
        <v>-0.30349999999999999</v>
      </c>
    </row>
    <row r="23" spans="1:36" ht="15.75" thickBot="1">
      <c r="A23" s="138" t="s">
        <v>194</v>
      </c>
      <c r="B23" s="145">
        <f>$D$12</f>
        <v>138.10933598187177</v>
      </c>
      <c r="C23" s="145">
        <f t="shared" ref="C23:D23" si="1">$D$12</f>
        <v>138.10933598187177</v>
      </c>
      <c r="D23" s="145">
        <f t="shared" si="1"/>
        <v>138.10933598187177</v>
      </c>
      <c r="E23" s="145">
        <f>MAX(R6:R8)</f>
        <v>246.36102910780511</v>
      </c>
      <c r="F23" s="146">
        <f>R24</f>
        <v>213.35490970983673</v>
      </c>
      <c r="I23" s="186" t="s">
        <v>195</v>
      </c>
      <c r="J23" s="30">
        <f>MAX(J12,J11)</f>
        <v>-2.6386380430567704E-2</v>
      </c>
      <c r="K23" s="23"/>
      <c r="L23" s="184" t="s">
        <v>115</v>
      </c>
      <c r="M23" s="55">
        <v>1.3193190215283852</v>
      </c>
      <c r="N23" s="115">
        <f>((M23-M22)/(M24-M22))*(N24-N22)+(N22)</f>
        <v>26.769600299408292</v>
      </c>
      <c r="Q23" s="58" t="s">
        <v>196</v>
      </c>
      <c r="R23" s="39">
        <f>(R21*D7)/R22</f>
        <v>0.55283125695522328</v>
      </c>
      <c r="T23" s="371" t="s">
        <v>95</v>
      </c>
      <c r="U23" s="356"/>
      <c r="V23" s="357"/>
      <c r="X23" s="58" t="s">
        <v>197</v>
      </c>
      <c r="Y23" s="54">
        <f>Y19*Y17*D6</f>
        <v>-646.01722926516277</v>
      </c>
      <c r="Z23" s="23" t="s">
        <v>92</v>
      </c>
      <c r="AB23" s="23" t="s">
        <v>172</v>
      </c>
      <c r="AC23" s="86" t="s">
        <v>180</v>
      </c>
    </row>
    <row r="24" spans="1:36">
      <c r="A24" s="139" t="s">
        <v>198</v>
      </c>
      <c r="B24" s="147">
        <f>J9</f>
        <v>48.76520767808217</v>
      </c>
      <c r="C24" s="147">
        <f>B24</f>
        <v>48.76520767808217</v>
      </c>
      <c r="D24" s="338">
        <v>43.63</v>
      </c>
      <c r="E24" s="148">
        <f>R11</f>
        <v>155.16938853474139</v>
      </c>
      <c r="F24" s="154">
        <f>R22</f>
        <v>116.37704140105603</v>
      </c>
      <c r="I24" s="186" t="s">
        <v>199</v>
      </c>
      <c r="J24" s="115">
        <f>MAX(N23:N24)</f>
        <v>26.769600299408292</v>
      </c>
      <c r="K24" s="23" t="s">
        <v>114</v>
      </c>
      <c r="L24" s="184" t="s">
        <v>122</v>
      </c>
      <c r="M24" s="54">
        <v>1.4</v>
      </c>
      <c r="N24" s="23">
        <v>26.58</v>
      </c>
      <c r="Q24" s="58" t="s">
        <v>200</v>
      </c>
      <c r="R24" s="31">
        <f>(((2*R22)/D20)^0.5)*(15/22)</f>
        <v>213.35490970983673</v>
      </c>
      <c r="S24" t="s">
        <v>36</v>
      </c>
      <c r="T24" s="99"/>
      <c r="U24" s="53" t="s">
        <v>111</v>
      </c>
      <c r="V24" s="97" t="s">
        <v>112</v>
      </c>
      <c r="X24" s="58" t="s">
        <v>201</v>
      </c>
      <c r="Y24" s="23">
        <f>Y21*Y17*D6*D9</f>
        <v>-397.38003434597584</v>
      </c>
      <c r="Z24" s="23" t="s">
        <v>141</v>
      </c>
      <c r="AA24" s="23" t="s">
        <v>106</v>
      </c>
      <c r="AB24" s="23">
        <v>1.1850000000000001</v>
      </c>
      <c r="AC24" s="86">
        <v>27.05</v>
      </c>
    </row>
    <row r="25" spans="1:36" ht="15.75" thickBot="1">
      <c r="A25" s="139" t="s">
        <v>202</v>
      </c>
      <c r="B25" s="136">
        <f>M3</f>
        <v>30</v>
      </c>
      <c r="C25" s="136">
        <f>B25</f>
        <v>30</v>
      </c>
      <c r="D25" s="136">
        <v>-30</v>
      </c>
      <c r="E25" s="136">
        <f>U3</f>
        <v>15</v>
      </c>
      <c r="F25" s="140">
        <v>15</v>
      </c>
      <c r="I25" s="186" t="s">
        <v>203</v>
      </c>
      <c r="J25" s="56">
        <f>(D15-(N23/100))*(J22)</f>
        <v>-3.5220544548872322E-2</v>
      </c>
      <c r="K25" s="23"/>
      <c r="N25" s="73"/>
      <c r="Q25" s="58" t="s">
        <v>204</v>
      </c>
      <c r="R25">
        <v>0</v>
      </c>
      <c r="T25" s="96" t="s">
        <v>106</v>
      </c>
      <c r="U25" s="104">
        <v>0.4</v>
      </c>
      <c r="V25" s="102">
        <v>33.65</v>
      </c>
      <c r="X25" s="51"/>
      <c r="AA25" s="23" t="s">
        <v>115</v>
      </c>
      <c r="AB25" s="55">
        <v>1.259253563525697</v>
      </c>
      <c r="AC25" s="95">
        <f>((AB25-AB24)/(AB26-AB24))*(AC26-AC24)+(AC24)</f>
        <v>26.864366091185758</v>
      </c>
    </row>
    <row r="26" spans="1:36" ht="15.75" thickBot="1">
      <c r="A26" s="141" t="s">
        <v>205</v>
      </c>
      <c r="B26" s="148">
        <f>J4</f>
        <v>2.2090800059123206</v>
      </c>
      <c r="C26" s="148">
        <f>B26</f>
        <v>2.2090800059123206</v>
      </c>
      <c r="D26" s="148">
        <f>J31</f>
        <v>-2.2090800059123206</v>
      </c>
      <c r="E26" s="148">
        <f>R9</f>
        <v>1.9702912180733074</v>
      </c>
      <c r="F26" s="154">
        <f>E26</f>
        <v>1.9702912180733074</v>
      </c>
      <c r="I26" s="186" t="s">
        <v>206</v>
      </c>
      <c r="J26" s="54">
        <f>J22*J9*D6</f>
        <v>8139.9646770098343</v>
      </c>
      <c r="K26" s="23" t="s">
        <v>92</v>
      </c>
      <c r="N26" s="73"/>
      <c r="Q26" s="58" t="s">
        <v>207</v>
      </c>
      <c r="R26" s="113">
        <f>V26</f>
        <v>31.777817102298513</v>
      </c>
      <c r="S26" t="s">
        <v>114</v>
      </c>
      <c r="T26" s="23" t="s">
        <v>115</v>
      </c>
      <c r="U26" s="55">
        <f>R23</f>
        <v>0.55283125695522328</v>
      </c>
      <c r="V26" s="95">
        <f>((U26-U25)/(U27-U25))*(V27-V25)+(V25)</f>
        <v>31.777817102298513</v>
      </c>
      <c r="W26" s="51"/>
      <c r="X26" s="51"/>
      <c r="AA26" s="23" t="s">
        <v>122</v>
      </c>
      <c r="AB26" s="23">
        <v>1.373</v>
      </c>
      <c r="AC26" s="86">
        <v>26.58</v>
      </c>
      <c r="AE26" s="378" t="s">
        <v>208</v>
      </c>
      <c r="AF26" s="379"/>
      <c r="AG26" s="71"/>
      <c r="AH26" s="71"/>
      <c r="AI26" s="71"/>
      <c r="AJ26" s="72"/>
    </row>
    <row r="27" spans="1:36" ht="39" thickBot="1">
      <c r="A27" s="141" t="s">
        <v>209</v>
      </c>
      <c r="B27" s="148">
        <f>J5</f>
        <v>3.9355489382931736</v>
      </c>
      <c r="C27" s="148">
        <f>B27</f>
        <v>3.9355489382931736</v>
      </c>
      <c r="D27" s="136" t="s">
        <v>20</v>
      </c>
      <c r="E27" s="148">
        <f>B27</f>
        <v>3.9355489382931736</v>
      </c>
      <c r="F27" s="154">
        <f>E27</f>
        <v>3.9355489382931736</v>
      </c>
      <c r="I27" s="186" t="s">
        <v>210</v>
      </c>
      <c r="J27" s="54">
        <f>J23*J9*D6</f>
        <v>-162.79929354019669</v>
      </c>
      <c r="K27" s="23" t="s">
        <v>92</v>
      </c>
      <c r="N27" s="73"/>
      <c r="Q27" s="58" t="s">
        <v>211</v>
      </c>
      <c r="R27" s="74">
        <f>(0.75*R15)+(0.08-R15)</f>
        <v>8.9526450000000007E-2</v>
      </c>
      <c r="T27" s="23" t="s">
        <v>122</v>
      </c>
      <c r="U27" s="55">
        <v>0.6</v>
      </c>
      <c r="V27" s="102">
        <v>31.2</v>
      </c>
      <c r="X27" s="51"/>
      <c r="Z27" s="39"/>
      <c r="AB27" s="23" t="s">
        <v>172</v>
      </c>
      <c r="AC27" s="86" t="s">
        <v>184</v>
      </c>
      <c r="AE27" s="371" t="s">
        <v>89</v>
      </c>
      <c r="AF27" s="356"/>
      <c r="AG27" s="357"/>
      <c r="AH27" s="371" t="s">
        <v>89</v>
      </c>
      <c r="AI27" s="356"/>
      <c r="AJ27" s="357"/>
    </row>
    <row r="28" spans="1:36" ht="15.75" thickBot="1">
      <c r="A28" s="141" t="s">
        <v>35</v>
      </c>
      <c r="B28" s="148">
        <f>J8</f>
        <v>4.9355489382931736</v>
      </c>
      <c r="C28" s="148">
        <f>B28</f>
        <v>4.9355489382931736</v>
      </c>
      <c r="D28" s="148">
        <f>J32</f>
        <v>-1.2090800059123206</v>
      </c>
      <c r="E28" s="148">
        <f>R10</f>
        <v>4.9355489382931736</v>
      </c>
      <c r="F28" s="154">
        <f>E28</f>
        <v>4.9355489382931736</v>
      </c>
      <c r="I28" s="186" t="s">
        <v>212</v>
      </c>
      <c r="J28" s="54">
        <f>J25*J9*D6*D9</f>
        <v>-952.87761568532801</v>
      </c>
      <c r="K28" s="23" t="s">
        <v>141</v>
      </c>
      <c r="L28" s="52"/>
      <c r="M28" s="52"/>
      <c r="N28" s="75"/>
      <c r="Q28" s="58" t="s">
        <v>213</v>
      </c>
      <c r="R28" s="31">
        <f>R23*R22*D6</f>
        <v>8139.9646770098343</v>
      </c>
      <c r="S28" t="s">
        <v>92</v>
      </c>
      <c r="T28" s="347"/>
      <c r="U28" s="347"/>
      <c r="V28" s="386"/>
      <c r="X28" s="51"/>
      <c r="AA28" s="23" t="s">
        <v>106</v>
      </c>
      <c r="AB28" s="23">
        <v>1.1850000000000001</v>
      </c>
      <c r="AC28" s="86">
        <v>-3.4959999999999998E-2</v>
      </c>
      <c r="AE28" s="133" t="s">
        <v>106</v>
      </c>
      <c r="AF28" s="39">
        <v>0</v>
      </c>
      <c r="AG28">
        <f>AC42</f>
        <v>52.390000000000008</v>
      </c>
      <c r="AI28" s="39">
        <f>AC7</f>
        <v>-0.60264900662251675</v>
      </c>
      <c r="AJ28" s="179">
        <f>FORECAST(AI28,AJ29:AJ30,AI29:AI30)</f>
        <v>80.624105960264927</v>
      </c>
    </row>
    <row r="29" spans="1:36" ht="15.75" thickBot="1">
      <c r="A29" s="141" t="s">
        <v>214</v>
      </c>
      <c r="B29" s="149">
        <f>J10</f>
        <v>1.3193190215283852</v>
      </c>
      <c r="C29" s="152">
        <f>J22</f>
        <v>1.3193190215283852</v>
      </c>
      <c r="D29" s="149">
        <f t="shared" ref="D29:D35" si="2">J33</f>
        <v>-0.32319854798186254</v>
      </c>
      <c r="E29" s="149">
        <f>R12</f>
        <v>0.41462344271641743</v>
      </c>
      <c r="F29" s="155">
        <f>R23</f>
        <v>0.55283125695522328</v>
      </c>
      <c r="Q29" s="58" t="s">
        <v>215</v>
      </c>
      <c r="R29" s="31">
        <f>R25*R22*D6</f>
        <v>0</v>
      </c>
      <c r="S29" t="s">
        <v>92</v>
      </c>
      <c r="V29" s="73"/>
      <c r="X29" s="51"/>
      <c r="AA29" s="23" t="s">
        <v>115</v>
      </c>
      <c r="AB29" s="55">
        <v>1.259253563525697</v>
      </c>
      <c r="AC29" s="107">
        <f>((AB29-AB28)/(AB30-AB28))*(AC30-AC28)+(AC28)</f>
        <v>-3.4596631497640203E-2</v>
      </c>
      <c r="AE29" s="133" t="s">
        <v>115</v>
      </c>
      <c r="AF29">
        <v>0.2</v>
      </c>
      <c r="AG29">
        <f>AC43</f>
        <v>43.02</v>
      </c>
      <c r="AI29" s="39">
        <v>0</v>
      </c>
      <c r="AJ29" s="73">
        <v>52.390000000000008</v>
      </c>
    </row>
    <row r="30" spans="1:36" ht="15.75" thickBot="1">
      <c r="A30" s="141" t="s">
        <v>216</v>
      </c>
      <c r="B30" s="150">
        <f t="shared" ref="B30:B35" si="3">J12</f>
        <v>-0.2766595107641926</v>
      </c>
      <c r="C30" s="160">
        <f t="shared" ref="C30:C35" si="4">J23</f>
        <v>-2.6386380430567704E-2</v>
      </c>
      <c r="D30" s="153">
        <v>0</v>
      </c>
      <c r="E30" s="153">
        <f t="shared" ref="E30:E35" si="5">R13</f>
        <v>0</v>
      </c>
      <c r="F30" s="161">
        <f>R25</f>
        <v>0</v>
      </c>
      <c r="I30" s="382" t="s">
        <v>217</v>
      </c>
      <c r="J30" s="383"/>
      <c r="K30" s="71"/>
      <c r="L30" s="331" t="s">
        <v>82</v>
      </c>
      <c r="M30" s="23">
        <v>-30</v>
      </c>
      <c r="N30" s="23" t="s">
        <v>218</v>
      </c>
      <c r="Q30" s="91" t="s">
        <v>219</v>
      </c>
      <c r="R30" s="119">
        <f>R27*R22*D6*D9</f>
        <v>5780.2903805128863</v>
      </c>
      <c r="S30" s="52" t="s">
        <v>141</v>
      </c>
      <c r="T30" s="52"/>
      <c r="U30" s="79"/>
      <c r="V30" s="75"/>
      <c r="X30" s="76"/>
      <c r="Y30" s="52"/>
      <c r="Z30" s="52"/>
      <c r="AA30" s="5" t="s">
        <v>122</v>
      </c>
      <c r="AB30" s="5">
        <v>1.373</v>
      </c>
      <c r="AC30" s="6">
        <v>-3.4040000000000001E-2</v>
      </c>
      <c r="AE30" s="133" t="s">
        <v>122</v>
      </c>
      <c r="AF30" s="52">
        <v>0.4</v>
      </c>
      <c r="AG30">
        <f>AC44</f>
        <v>33.65</v>
      </c>
      <c r="AI30">
        <v>0.2</v>
      </c>
      <c r="AJ30" s="73">
        <v>43.02</v>
      </c>
    </row>
    <row r="31" spans="1:36" ht="15.75" thickBot="1">
      <c r="A31" s="141" t="s">
        <v>220</v>
      </c>
      <c r="B31" s="148">
        <f t="shared" si="3"/>
        <v>26.61</v>
      </c>
      <c r="C31" s="147">
        <f t="shared" si="4"/>
        <v>26.769600299408292</v>
      </c>
      <c r="D31" s="148">
        <f t="shared" si="2"/>
        <v>67.531851972950278</v>
      </c>
      <c r="E31" s="148">
        <f t="shared" si="5"/>
        <v>32.964891708735841</v>
      </c>
      <c r="F31" s="154">
        <f t="shared" ref="F31:F35" si="6">R26</f>
        <v>31.777817102298513</v>
      </c>
      <c r="I31" s="186" t="s">
        <v>221</v>
      </c>
      <c r="J31" s="54">
        <f>(D18*M30*D12*D19)/(575*D7)</f>
        <v>-2.2090800059123206</v>
      </c>
      <c r="K31" s="23"/>
      <c r="N31" s="73"/>
      <c r="U31" s="39"/>
      <c r="AE31" s="51"/>
      <c r="AJ31" s="73"/>
    </row>
    <row r="32" spans="1:36" ht="15.75" thickBot="1">
      <c r="A32" s="141" t="s">
        <v>222</v>
      </c>
      <c r="B32" s="151">
        <f t="shared" si="3"/>
        <v>-3.3114907440362482E-2</v>
      </c>
      <c r="C32" s="162">
        <f t="shared" si="4"/>
        <v>-3.5220544548872322E-2</v>
      </c>
      <c r="D32" s="151">
        <f t="shared" si="2"/>
        <v>-3.9837029545469402E-2</v>
      </c>
      <c r="E32" s="151">
        <f t="shared" si="5"/>
        <v>-3.8105800000000002E-2</v>
      </c>
      <c r="F32" s="156">
        <f t="shared" si="6"/>
        <v>8.9526450000000007E-2</v>
      </c>
      <c r="I32" s="186" t="s">
        <v>223</v>
      </c>
      <c r="J32" s="54">
        <f>1+J31</f>
        <v>-1.2090800059123206</v>
      </c>
      <c r="K32" s="23"/>
      <c r="L32" s="356" t="s">
        <v>89</v>
      </c>
      <c r="M32" s="356"/>
      <c r="N32" s="357"/>
      <c r="Q32" s="376" t="s">
        <v>224</v>
      </c>
      <c r="R32" s="377"/>
      <c r="S32" s="71"/>
      <c r="T32" s="331" t="s">
        <v>82</v>
      </c>
      <c r="U32" s="23">
        <v>-15</v>
      </c>
      <c r="V32" s="23" t="s">
        <v>37</v>
      </c>
      <c r="X32" s="376" t="s">
        <v>225</v>
      </c>
      <c r="Y32" s="377"/>
      <c r="Z32" s="71"/>
      <c r="AA32" s="331" t="s">
        <v>82</v>
      </c>
      <c r="AB32" s="183" t="s">
        <v>226</v>
      </c>
      <c r="AC32" s="23" t="s">
        <v>37</v>
      </c>
      <c r="AE32" s="51"/>
      <c r="AF32" s="55">
        <v>0</v>
      </c>
      <c r="AG32" s="125">
        <f>FORECAST(AF32,AG33:AG34,AF33:AF34)</f>
        <v>-3.7510000000000002E-2</v>
      </c>
      <c r="AI32" s="39">
        <v>-0.60264900662251675</v>
      </c>
      <c r="AJ32" s="179">
        <f>FORECAST(AI32,AJ33:AJ34,AI33:AI34)</f>
        <v>-3.6785231788079471E-2</v>
      </c>
    </row>
    <row r="33" spans="1:36">
      <c r="A33" s="141" t="s">
        <v>227</v>
      </c>
      <c r="B33" s="137">
        <f t="shared" si="3"/>
        <v>8139.9646770098343</v>
      </c>
      <c r="C33" s="163">
        <f t="shared" si="4"/>
        <v>8139.9646770098343</v>
      </c>
      <c r="D33" s="137">
        <f t="shared" si="2"/>
        <v>-1994.0777941528579</v>
      </c>
      <c r="E33" s="137">
        <f t="shared" si="5"/>
        <v>8139.9646770098343</v>
      </c>
      <c r="F33" s="142">
        <f t="shared" si="6"/>
        <v>8139.9646770098343</v>
      </c>
      <c r="I33" s="185" t="s">
        <v>228</v>
      </c>
      <c r="J33" s="55">
        <f>((J32*D7)/(J9))</f>
        <v>-0.32319854798186254</v>
      </c>
      <c r="K33" s="23"/>
      <c r="M33" s="53" t="s">
        <v>0</v>
      </c>
      <c r="N33" s="97" t="s">
        <v>182</v>
      </c>
      <c r="Q33" s="121" t="s">
        <v>229</v>
      </c>
      <c r="R33" s="83">
        <f>(D18*U32*(MAX(R6:R8))*D19)/(575*D7)</f>
        <v>-1.9702912180733074</v>
      </c>
      <c r="V33" s="73"/>
      <c r="X33" s="121" t="s">
        <v>230</v>
      </c>
      <c r="Y33" s="83">
        <f>(D18*AB32*D16*D19)/(575*D7)</f>
        <v>-0.7196925939801232</v>
      </c>
      <c r="Z33" s="23"/>
      <c r="AC33" s="73"/>
      <c r="AE33" s="180"/>
      <c r="AF33" s="55">
        <v>0.2</v>
      </c>
      <c r="AG33" s="86">
        <v>-3.7870000000000001E-2</v>
      </c>
      <c r="AI33">
        <v>0</v>
      </c>
      <c r="AJ33" s="73">
        <v>-3.7870000000000001E-2</v>
      </c>
    </row>
    <row r="34" spans="1:36" ht="15.75" thickBot="1">
      <c r="A34" s="141" t="s">
        <v>231</v>
      </c>
      <c r="B34" s="137">
        <f t="shared" si="3"/>
        <v>-1706.9401777975486</v>
      </c>
      <c r="C34" s="163">
        <f t="shared" si="4"/>
        <v>-162.79929354019669</v>
      </c>
      <c r="D34" s="164">
        <f t="shared" si="2"/>
        <v>0</v>
      </c>
      <c r="E34" s="164">
        <f t="shared" si="5"/>
        <v>0</v>
      </c>
      <c r="F34" s="165">
        <f t="shared" si="6"/>
        <v>0</v>
      </c>
      <c r="I34" s="185" t="s">
        <v>232</v>
      </c>
      <c r="J34" s="23">
        <v>0</v>
      </c>
      <c r="K34" s="23"/>
      <c r="L34" s="184" t="s">
        <v>106</v>
      </c>
      <c r="M34" s="54">
        <v>0</v>
      </c>
      <c r="N34" s="87">
        <f>FORECAST(M34,N35:N36,M35:M36)</f>
        <v>52.390000000000008</v>
      </c>
      <c r="Q34" s="58" t="s">
        <v>233</v>
      </c>
      <c r="R34" s="54">
        <f>1+R33</f>
        <v>-0.97029121807330743</v>
      </c>
      <c r="V34" s="73"/>
      <c r="X34" s="90" t="s">
        <v>234</v>
      </c>
      <c r="Y34" s="54">
        <f>1+Y33</f>
        <v>0.2803074060198768</v>
      </c>
      <c r="Z34" s="23"/>
      <c r="AC34" s="73"/>
      <c r="AE34" s="181"/>
      <c r="AF34" s="92">
        <v>0.4</v>
      </c>
      <c r="AG34" s="6">
        <v>-3.823E-2</v>
      </c>
      <c r="AH34" s="52"/>
      <c r="AI34" s="52">
        <v>0.2</v>
      </c>
      <c r="AJ34" s="75">
        <v>-3.823E-2</v>
      </c>
    </row>
    <row r="35" spans="1:36" ht="15.75" thickBot="1">
      <c r="A35" s="143" t="s">
        <v>235</v>
      </c>
      <c r="B35" s="144">
        <f t="shared" si="3"/>
        <v>-895.91045367364234</v>
      </c>
      <c r="C35" s="163">
        <f t="shared" si="4"/>
        <v>-952.87761568532801</v>
      </c>
      <c r="D35" s="137">
        <f t="shared" si="2"/>
        <v>-1077.7747537832499</v>
      </c>
      <c r="E35" s="137">
        <f t="shared" si="5"/>
        <v>-3280.4098927448886</v>
      </c>
      <c r="F35" s="142">
        <f t="shared" si="6"/>
        <v>5780.2903805128863</v>
      </c>
      <c r="I35" s="186" t="s">
        <v>236</v>
      </c>
      <c r="J35" s="54">
        <f>N38</f>
        <v>67.531851972950278</v>
      </c>
      <c r="K35" s="23" t="s">
        <v>114</v>
      </c>
      <c r="L35" s="184" t="s">
        <v>115</v>
      </c>
      <c r="M35" s="54">
        <v>0.2</v>
      </c>
      <c r="N35" s="86">
        <v>43.02</v>
      </c>
      <c r="Q35" s="58" t="s">
        <v>237</v>
      </c>
      <c r="R35" s="55">
        <f>(R34*D7)/R22</f>
        <v>-0.10868240197929903</v>
      </c>
      <c r="T35" s="371" t="s">
        <v>95</v>
      </c>
      <c r="U35" s="356"/>
      <c r="V35" s="357"/>
      <c r="X35" s="108" t="s">
        <v>238</v>
      </c>
      <c r="Y35" s="55">
        <f>(Y34*D7)/Y17</f>
        <v>0.17648904995658715</v>
      </c>
      <c r="Z35" s="96"/>
      <c r="AA35" s="371" t="s">
        <v>95</v>
      </c>
      <c r="AB35" s="356"/>
      <c r="AC35" s="357"/>
      <c r="AE35" s="39"/>
    </row>
    <row r="36" spans="1:36" ht="15.75" thickBot="1">
      <c r="I36" s="186" t="s">
        <v>239</v>
      </c>
      <c r="J36" s="56">
        <f>N46</f>
        <v>-3.9837029545469402E-2</v>
      </c>
      <c r="K36" s="23"/>
      <c r="L36" s="184" t="s">
        <v>122</v>
      </c>
      <c r="M36" s="54">
        <v>0.4</v>
      </c>
      <c r="N36" s="86">
        <v>33.65</v>
      </c>
      <c r="Q36" s="58" t="s">
        <v>240</v>
      </c>
      <c r="R36" s="23">
        <v>0</v>
      </c>
      <c r="U36" s="53" t="s">
        <v>241</v>
      </c>
      <c r="V36" s="97" t="s">
        <v>242</v>
      </c>
      <c r="X36" s="58" t="s">
        <v>243</v>
      </c>
      <c r="Y36" s="118">
        <f>AC38</f>
        <v>7.8705328501302383E-3</v>
      </c>
      <c r="Z36" s="23"/>
      <c r="AB36" s="53" t="s">
        <v>238</v>
      </c>
      <c r="AC36" s="97" t="s">
        <v>243</v>
      </c>
    </row>
    <row r="37" spans="1:36" ht="30.75" thickBot="1">
      <c r="A37" s="174" t="s">
        <v>185</v>
      </c>
      <c r="B37" s="175" t="s">
        <v>244</v>
      </c>
      <c r="C37" s="175" t="s">
        <v>29</v>
      </c>
      <c r="D37" s="175" t="s">
        <v>245</v>
      </c>
      <c r="E37" s="175" t="s">
        <v>246</v>
      </c>
      <c r="F37" s="175" t="s">
        <v>247</v>
      </c>
      <c r="G37" s="176" t="s">
        <v>248</v>
      </c>
      <c r="I37" s="186" t="s">
        <v>249</v>
      </c>
      <c r="J37" s="54">
        <f>J33*J9*D6</f>
        <v>-1994.0777941528579</v>
      </c>
      <c r="K37" s="23" t="s">
        <v>92</v>
      </c>
      <c r="M37" s="23" t="s">
        <v>250</v>
      </c>
      <c r="N37" s="86" t="s">
        <v>251</v>
      </c>
      <c r="Q37" s="58" t="s">
        <v>252</v>
      </c>
      <c r="R37" s="115">
        <f>V38</f>
        <v>29.693841974921586</v>
      </c>
      <c r="S37" t="s">
        <v>114</v>
      </c>
      <c r="T37" s="23" t="s">
        <v>106</v>
      </c>
      <c r="U37" s="55">
        <v>-7.9000000000000001E-2</v>
      </c>
      <c r="V37" s="102">
        <v>30.12</v>
      </c>
      <c r="X37" s="58" t="s">
        <v>253</v>
      </c>
      <c r="Y37" s="115">
        <f>AC48</f>
        <v>44.121488009533898</v>
      </c>
      <c r="Z37" s="23" t="s">
        <v>114</v>
      </c>
      <c r="AA37" s="23" t="s">
        <v>106</v>
      </c>
      <c r="AB37" s="55">
        <v>0</v>
      </c>
      <c r="AC37" s="86">
        <v>8.3999999999999995E-3</v>
      </c>
    </row>
    <row r="38" spans="1:36">
      <c r="A38" s="138" t="s">
        <v>194</v>
      </c>
      <c r="B38" s="145">
        <f>E23</f>
        <v>246.36102910780511</v>
      </c>
      <c r="C38" s="145">
        <f>B23</f>
        <v>138.10933598187177</v>
      </c>
      <c r="D38" s="157">
        <f>B38</f>
        <v>246.36102910780511</v>
      </c>
      <c r="E38" s="157">
        <f>D16</f>
        <v>89.988833360171867</v>
      </c>
      <c r="F38" s="157">
        <f>D16</f>
        <v>89.988833360171867</v>
      </c>
      <c r="G38" s="146">
        <f>D16</f>
        <v>89.988833360171867</v>
      </c>
      <c r="I38" s="186" t="s">
        <v>254</v>
      </c>
      <c r="J38" s="54">
        <f>J34*J9*D6</f>
        <v>0</v>
      </c>
      <c r="K38" s="23" t="s">
        <v>92</v>
      </c>
      <c r="L38" s="184" t="s">
        <v>106</v>
      </c>
      <c r="M38" s="55">
        <f>J33</f>
        <v>-0.32319854798186254</v>
      </c>
      <c r="N38" s="87">
        <f>FORECAST(M38,N39:N40,M39:M40)</f>
        <v>67.531851972950278</v>
      </c>
      <c r="Q38" s="58" t="s">
        <v>255</v>
      </c>
      <c r="R38" s="100">
        <f>V42</f>
        <v>-3.9835647448232259E-2</v>
      </c>
      <c r="T38" s="23" t="s">
        <v>115</v>
      </c>
      <c r="U38" s="55">
        <f>R35</f>
        <v>-0.10868240197929903</v>
      </c>
      <c r="V38" s="95">
        <f>((U38-U37)/(U39-U37))*(V39-V37)+(V37)</f>
        <v>29.693841974921586</v>
      </c>
      <c r="X38" s="58" t="s">
        <v>256</v>
      </c>
      <c r="Y38" s="100">
        <f>AC58</f>
        <v>-3.782768028992186E-2</v>
      </c>
      <c r="Z38" s="23"/>
      <c r="AA38" s="23" t="s">
        <v>115</v>
      </c>
      <c r="AB38" s="55">
        <v>0.17648904995658715</v>
      </c>
      <c r="AC38" s="105">
        <f>((AB38-AB37)/(AB39-AB37))*(AC39-AC37)+(AC37)</f>
        <v>7.8705328501302383E-3</v>
      </c>
    </row>
    <row r="39" spans="1:36" ht="15.75" thickBot="1">
      <c r="A39" s="139" t="s">
        <v>198</v>
      </c>
      <c r="B39" s="148">
        <f>R22</f>
        <v>116.37704140105603</v>
      </c>
      <c r="C39" s="147">
        <f>J9</f>
        <v>48.76520767808217</v>
      </c>
      <c r="D39" s="147">
        <f>B39</f>
        <v>116.37704140105603</v>
      </c>
      <c r="E39" s="147">
        <f>Y17</f>
        <v>20.703379680026266</v>
      </c>
      <c r="F39" s="147">
        <f>Y17</f>
        <v>20.703379680026266</v>
      </c>
      <c r="G39" s="158">
        <f>Y17</f>
        <v>20.703379680026266</v>
      </c>
      <c r="I39" s="186" t="s">
        <v>257</v>
      </c>
      <c r="J39" s="54">
        <f>J36*J9*D6*D9</f>
        <v>-1077.7747537832499</v>
      </c>
      <c r="K39" s="23" t="s">
        <v>141</v>
      </c>
      <c r="L39" s="184" t="s">
        <v>115</v>
      </c>
      <c r="M39" s="55">
        <v>0</v>
      </c>
      <c r="N39" s="86">
        <f>N34</f>
        <v>52.390000000000008</v>
      </c>
      <c r="Q39" s="58" t="s">
        <v>258</v>
      </c>
      <c r="R39" s="54">
        <f>R35*R22*D6</f>
        <v>-1600.2548734246623</v>
      </c>
      <c r="S39" t="s">
        <v>92</v>
      </c>
      <c r="T39" s="23" t="s">
        <v>122</v>
      </c>
      <c r="U39" s="55">
        <v>-0.1389</v>
      </c>
      <c r="V39" s="102">
        <v>29.26</v>
      </c>
      <c r="X39" s="58" t="s">
        <v>259</v>
      </c>
      <c r="Y39" s="54">
        <f>Y35*Y17*D6</f>
        <v>462.29759085219672</v>
      </c>
      <c r="Z39" s="23" t="s">
        <v>92</v>
      </c>
      <c r="AA39" s="123" t="s">
        <v>122</v>
      </c>
      <c r="AB39" s="124">
        <v>0.2</v>
      </c>
      <c r="AC39" s="126">
        <v>7.7999999999999996E-3</v>
      </c>
    </row>
    <row r="40" spans="1:36" ht="15.75" thickBot="1">
      <c r="A40" s="139" t="s">
        <v>202</v>
      </c>
      <c r="B40" s="136">
        <v>-15</v>
      </c>
      <c r="C40" s="136">
        <v>-15</v>
      </c>
      <c r="D40" s="136" t="s">
        <v>20</v>
      </c>
      <c r="E40" s="136">
        <v>15</v>
      </c>
      <c r="F40" s="136">
        <v>-15</v>
      </c>
      <c r="G40" s="140" t="s">
        <v>20</v>
      </c>
      <c r="I40" s="51"/>
      <c r="L40" s="23" t="s">
        <v>122</v>
      </c>
      <c r="M40" s="55">
        <v>0.2</v>
      </c>
      <c r="N40" s="86">
        <f>N35</f>
        <v>43.02</v>
      </c>
      <c r="Q40" s="58" t="s">
        <v>260</v>
      </c>
      <c r="R40" s="54">
        <f>R36*R22*D6</f>
        <v>0</v>
      </c>
      <c r="T40" s="23"/>
      <c r="U40" s="23" t="s">
        <v>261</v>
      </c>
      <c r="V40" s="86" t="s">
        <v>262</v>
      </c>
      <c r="X40" s="58" t="s">
        <v>263</v>
      </c>
      <c r="Y40" s="54">
        <f>Y36*Y17*D6</f>
        <v>20.616170670267017</v>
      </c>
      <c r="Z40" s="96" t="s">
        <v>92</v>
      </c>
      <c r="AA40" s="371" t="s">
        <v>89</v>
      </c>
      <c r="AB40" s="356"/>
      <c r="AC40" s="357"/>
    </row>
    <row r="41" spans="1:36">
      <c r="A41" s="141" t="s">
        <v>205</v>
      </c>
      <c r="B41" s="148">
        <f>R33</f>
        <v>-1.9702912180733074</v>
      </c>
      <c r="C41" s="148">
        <f>R46</f>
        <v>-1.1045400029561603</v>
      </c>
      <c r="D41" s="136" t="s">
        <v>20</v>
      </c>
      <c r="E41" s="148">
        <f>Y14</f>
        <v>0.7196925939801232</v>
      </c>
      <c r="F41" s="148">
        <f>Y33</f>
        <v>-0.7196925939801232</v>
      </c>
      <c r="G41" s="140" t="s">
        <v>20</v>
      </c>
      <c r="I41" s="51"/>
      <c r="M41" s="23" t="s">
        <v>250</v>
      </c>
      <c r="N41" s="86" t="s">
        <v>264</v>
      </c>
      <c r="Q41" s="58" t="s">
        <v>265</v>
      </c>
      <c r="R41" s="54">
        <f>R38*R22*D6*D9</f>
        <v>-2571.9953125195916</v>
      </c>
      <c r="S41" t="s">
        <v>141</v>
      </c>
      <c r="T41" s="23" t="s">
        <v>106</v>
      </c>
      <c r="U41" s="55">
        <v>0.4</v>
      </c>
      <c r="V41" s="103">
        <v>-4.8000000000000001E-2</v>
      </c>
      <c r="X41" s="58" t="s">
        <v>266</v>
      </c>
      <c r="Y41" s="54">
        <f>Y38*D6*D9*Y17</f>
        <v>-434.49215262078491</v>
      </c>
      <c r="Z41" s="23" t="s">
        <v>141</v>
      </c>
      <c r="AB41" s="53" t="s">
        <v>238</v>
      </c>
      <c r="AC41" s="97" t="s">
        <v>267</v>
      </c>
    </row>
    <row r="42" spans="1:36" ht="38.25">
      <c r="A42" s="141" t="s">
        <v>209</v>
      </c>
      <c r="B42" s="136" t="s">
        <v>20</v>
      </c>
      <c r="C42" s="148">
        <f>R47</f>
        <v>-0.98388723457329341</v>
      </c>
      <c r="D42" s="136" t="s">
        <v>20</v>
      </c>
      <c r="E42" s="136" t="s">
        <v>20</v>
      </c>
      <c r="F42" s="136" t="s">
        <v>20</v>
      </c>
      <c r="G42" s="140" t="s">
        <v>20</v>
      </c>
      <c r="I42" s="51"/>
      <c r="L42" s="23" t="s">
        <v>106</v>
      </c>
      <c r="M42" s="55">
        <v>0</v>
      </c>
      <c r="N42" s="87">
        <f>FORECAST(M42,N43:N44,M43:M44)</f>
        <v>-3.7509999999999995E-2</v>
      </c>
      <c r="Q42" s="51"/>
      <c r="T42" s="23" t="s">
        <v>115</v>
      </c>
      <c r="U42" s="55">
        <f>R35</f>
        <v>-0.10868240197929903</v>
      </c>
      <c r="V42" s="107">
        <f>((U42-U41)/(U43-U41))*(V43-V41)+(V41)</f>
        <v>-3.9835647448232259E-2</v>
      </c>
      <c r="X42" s="51"/>
      <c r="AA42" s="23" t="s">
        <v>106</v>
      </c>
      <c r="AB42" s="55">
        <v>0</v>
      </c>
      <c r="AC42" s="125">
        <f>FORECAST(AB42,AC43:AC44,AB43:AB44)</f>
        <v>52.390000000000008</v>
      </c>
    </row>
    <row r="43" spans="1:36" ht="15.75" thickBot="1">
      <c r="A43" s="141" t="s">
        <v>35</v>
      </c>
      <c r="B43" s="148">
        <f>R34</f>
        <v>-0.97029121807330743</v>
      </c>
      <c r="C43" s="148">
        <f t="shared" ref="C43:C50" si="7">R48</f>
        <v>-0.10454000295616028</v>
      </c>
      <c r="D43" s="148">
        <f>Y6</f>
        <v>-5.3803102255488255</v>
      </c>
      <c r="E43" s="148">
        <f>Y16</f>
        <v>2</v>
      </c>
      <c r="F43" s="147">
        <f>Y34</f>
        <v>0.2803074060198768</v>
      </c>
      <c r="G43" s="154">
        <f>AF7</f>
        <v>0.99929418230082523</v>
      </c>
      <c r="I43" s="51"/>
      <c r="L43" s="23" t="s">
        <v>115</v>
      </c>
      <c r="M43" s="55">
        <v>0.2</v>
      </c>
      <c r="N43" s="86">
        <v>-3.6069999999999998E-2</v>
      </c>
      <c r="Q43" s="76"/>
      <c r="R43" s="52"/>
      <c r="S43" s="52"/>
      <c r="T43" s="5" t="s">
        <v>122</v>
      </c>
      <c r="U43" s="92">
        <v>0.6</v>
      </c>
      <c r="V43" s="122">
        <v>-5.1209999999999999E-2</v>
      </c>
      <c r="X43" s="51"/>
      <c r="AA43" s="23" t="s">
        <v>115</v>
      </c>
      <c r="AB43" s="55">
        <v>0.2</v>
      </c>
      <c r="AC43" s="86">
        <v>43.02</v>
      </c>
    </row>
    <row r="44" spans="1:36" ht="15.75" thickBot="1">
      <c r="A44" s="141" t="s">
        <v>214</v>
      </c>
      <c r="B44" s="149">
        <f t="shared" ref="B44:B50" si="8">R35</f>
        <v>-0.10868240197929903</v>
      </c>
      <c r="C44" s="149">
        <f t="shared" si="7"/>
        <v>-2.7944533857340768E-2</v>
      </c>
      <c r="D44" s="149">
        <f>Y5</f>
        <v>-0.60264900662251675</v>
      </c>
      <c r="E44" s="149">
        <f>Y18</f>
        <v>1.259253563525697</v>
      </c>
      <c r="F44" s="152">
        <f t="shared" ref="F44:F50" si="9">Y35</f>
        <v>0.17648904995658715</v>
      </c>
      <c r="G44" s="155">
        <f>AF6</f>
        <v>0.62918238003640581</v>
      </c>
      <c r="I44" s="51"/>
      <c r="L44" s="23" t="s">
        <v>122</v>
      </c>
      <c r="M44" s="55">
        <v>0.4</v>
      </c>
      <c r="N44" s="86">
        <v>-3.4630000000000001E-2</v>
      </c>
      <c r="X44" s="51"/>
      <c r="AA44" s="123" t="s">
        <v>122</v>
      </c>
      <c r="AB44" s="124">
        <v>0.4</v>
      </c>
      <c r="AC44" s="126">
        <v>33.65</v>
      </c>
    </row>
    <row r="45" spans="1:36" ht="15.75" thickBot="1">
      <c r="A45" s="141" t="s">
        <v>216</v>
      </c>
      <c r="B45" s="153">
        <f t="shared" si="8"/>
        <v>0</v>
      </c>
      <c r="C45" s="153">
        <f t="shared" si="7"/>
        <v>0</v>
      </c>
      <c r="D45" s="150">
        <f>Y4</f>
        <v>6.8400000000000002E-2</v>
      </c>
      <c r="E45" s="150">
        <f t="shared" ref="E45:E50" si="10">Y19</f>
        <v>-0.24662678176284847</v>
      </c>
      <c r="F45" s="160">
        <f t="shared" si="9"/>
        <v>7.8705328501302383E-3</v>
      </c>
      <c r="G45" s="159">
        <f>AF5</f>
        <v>-4.2540131297249581E-2</v>
      </c>
      <c r="I45" s="51"/>
      <c r="M45" s="23" t="s">
        <v>250</v>
      </c>
      <c r="N45" s="86" t="s">
        <v>239</v>
      </c>
      <c r="Q45" s="376" t="s">
        <v>268</v>
      </c>
      <c r="R45" s="377"/>
      <c r="S45" s="71"/>
      <c r="T45" s="71"/>
      <c r="U45" s="71"/>
      <c r="V45" s="72"/>
      <c r="X45" s="51"/>
      <c r="AA45" s="371" t="s">
        <v>95</v>
      </c>
      <c r="AB45" s="356"/>
      <c r="AC45" s="357"/>
    </row>
    <row r="46" spans="1:36" ht="15.75" thickBot="1">
      <c r="A46" s="141" t="s">
        <v>220</v>
      </c>
      <c r="B46" s="148">
        <f t="shared" si="8"/>
        <v>29.693841974921586</v>
      </c>
      <c r="C46" s="148">
        <f t="shared" si="7"/>
        <v>25</v>
      </c>
      <c r="D46" s="148">
        <f>Y7</f>
        <v>80.624105960264927</v>
      </c>
      <c r="E46" s="148">
        <f t="shared" si="10"/>
        <v>26.864366091185758</v>
      </c>
      <c r="F46" s="147">
        <f t="shared" si="9"/>
        <v>44.121488009533898</v>
      </c>
      <c r="G46" s="154">
        <f>AF8</f>
        <v>31.040015378480618</v>
      </c>
      <c r="I46" s="51"/>
      <c r="L46" s="23" t="s">
        <v>106</v>
      </c>
      <c r="M46" s="55">
        <v>-0.32319854798186254</v>
      </c>
      <c r="N46" s="87">
        <f>FORECAST(M46,N47:N48,M47:M48)</f>
        <v>-3.9837029545469402E-2</v>
      </c>
      <c r="Q46" s="121" t="s">
        <v>269</v>
      </c>
      <c r="R46" s="83">
        <f>-0.5*J4</f>
        <v>-1.1045400029561603</v>
      </c>
      <c r="S46" s="23"/>
      <c r="V46" s="73"/>
      <c r="X46" s="51"/>
      <c r="AB46" s="53" t="s">
        <v>238</v>
      </c>
      <c r="AC46" s="97" t="s">
        <v>270</v>
      </c>
    </row>
    <row r="47" spans="1:36" ht="15.75" thickBot="1">
      <c r="A47" s="141" t="s">
        <v>222</v>
      </c>
      <c r="B47" s="151">
        <f t="shared" si="8"/>
        <v>-3.9835647448232259E-2</v>
      </c>
      <c r="C47" s="151">
        <f t="shared" si="7"/>
        <v>-3.755413368471007E-2</v>
      </c>
      <c r="D47" s="151">
        <f t="shared" ref="D47:D50" si="11">Y8</f>
        <v>-3.6785231788079471E-2</v>
      </c>
      <c r="E47" s="151">
        <f t="shared" si="10"/>
        <v>-3.4596631497640203E-2</v>
      </c>
      <c r="F47" s="162">
        <f t="shared" si="9"/>
        <v>-3.782768028992186E-2</v>
      </c>
      <c r="G47" s="156">
        <f t="shared" ref="G47:G50" si="12">AF9</f>
        <v>-4.3374367124861334E-2</v>
      </c>
      <c r="I47" s="51"/>
      <c r="L47" s="23" t="s">
        <v>115</v>
      </c>
      <c r="M47" s="55">
        <v>0</v>
      </c>
      <c r="N47" s="86">
        <f>N42</f>
        <v>-3.7509999999999995E-2</v>
      </c>
      <c r="Q47" s="90" t="s">
        <v>271</v>
      </c>
      <c r="R47" s="54">
        <f>-0.25*J5</f>
        <v>-0.98388723457329341</v>
      </c>
      <c r="S47" s="96"/>
      <c r="T47" s="371" t="s">
        <v>89</v>
      </c>
      <c r="U47" s="356"/>
      <c r="V47" s="357"/>
      <c r="X47" s="51"/>
      <c r="AA47" s="23" t="s">
        <v>106</v>
      </c>
      <c r="AB47" s="55">
        <v>0</v>
      </c>
      <c r="AC47" s="86">
        <f>AC42</f>
        <v>52.390000000000008</v>
      </c>
    </row>
    <row r="48" spans="1:36" ht="15.75" thickBot="1">
      <c r="A48" s="141" t="s">
        <v>227</v>
      </c>
      <c r="B48" s="137">
        <f t="shared" si="8"/>
        <v>-1600.2548734246623</v>
      </c>
      <c r="C48" s="137">
        <f t="shared" si="7"/>
        <v>-172.41282419376174</v>
      </c>
      <c r="D48" s="137">
        <f t="shared" si="11"/>
        <v>-11831.317579159429</v>
      </c>
      <c r="E48" s="137">
        <f t="shared" si="10"/>
        <v>3298.504291530669</v>
      </c>
      <c r="F48" s="163">
        <f t="shared" si="9"/>
        <v>462.29759085219672</v>
      </c>
      <c r="G48" s="142">
        <f t="shared" si="12"/>
        <v>1648.0880744104511</v>
      </c>
      <c r="I48" s="76"/>
      <c r="J48" s="52"/>
      <c r="K48" s="52"/>
      <c r="L48" s="101" t="s">
        <v>122</v>
      </c>
      <c r="M48" s="79">
        <v>0.2</v>
      </c>
      <c r="N48" s="75">
        <f>N43</f>
        <v>-3.6069999999999998E-2</v>
      </c>
      <c r="Q48" s="58" t="s">
        <v>272</v>
      </c>
      <c r="R48" s="54">
        <f>1+(MIN(R46:R47))</f>
        <v>-0.10454000295616028</v>
      </c>
      <c r="S48" s="23"/>
      <c r="U48" s="53" t="s">
        <v>273</v>
      </c>
      <c r="V48" s="97" t="s">
        <v>274</v>
      </c>
      <c r="X48" s="51"/>
      <c r="AA48" s="23" t="s">
        <v>115</v>
      </c>
      <c r="AB48" s="55">
        <v>0.17648904995658715</v>
      </c>
      <c r="AC48" s="105">
        <f>((AB48-AB47)/(AB49-AB47))*(AC49-AC47)+(AC47)</f>
        <v>44.121488009533898</v>
      </c>
    </row>
    <row r="49" spans="1:29" ht="15.75" thickBot="1">
      <c r="A49" s="141" t="s">
        <v>231</v>
      </c>
      <c r="B49" s="164">
        <f t="shared" si="8"/>
        <v>0</v>
      </c>
      <c r="C49" s="164">
        <f t="shared" si="7"/>
        <v>0</v>
      </c>
      <c r="D49" s="137">
        <f t="shared" si="11"/>
        <v>1342.8415437867054</v>
      </c>
      <c r="E49" s="137">
        <f t="shared" si="10"/>
        <v>-646.01722926516277</v>
      </c>
      <c r="F49" s="163">
        <f t="shared" si="9"/>
        <v>20.616170670267017</v>
      </c>
      <c r="G49" s="142">
        <f t="shared" si="12"/>
        <v>-111.43014378564628</v>
      </c>
      <c r="Q49" s="58" t="s">
        <v>273</v>
      </c>
      <c r="R49" s="55">
        <f>(R48*D7)/J9</f>
        <v>-2.7944533857340768E-2</v>
      </c>
      <c r="S49" s="23"/>
      <c r="T49" s="23" t="s">
        <v>106</v>
      </c>
      <c r="U49" s="55">
        <v>0</v>
      </c>
      <c r="V49" s="125">
        <f>FORECAST(U49,V50:V51,U50:U51)</f>
        <v>-3.7510000000000002E-2</v>
      </c>
      <c r="X49" s="51"/>
      <c r="AA49" s="123" t="s">
        <v>122</v>
      </c>
      <c r="AB49" s="124">
        <v>0.2</v>
      </c>
      <c r="AC49" s="126">
        <v>43.02</v>
      </c>
    </row>
    <row r="50" spans="1:29" ht="15.75" thickBot="1">
      <c r="A50" s="143" t="s">
        <v>235</v>
      </c>
      <c r="B50" s="137">
        <f t="shared" si="8"/>
        <v>-2571.9953125195916</v>
      </c>
      <c r="C50" s="137">
        <f t="shared" si="7"/>
        <v>-1016.0119277815179</v>
      </c>
      <c r="D50" s="137">
        <f t="shared" si="11"/>
        <v>-422.518494968759</v>
      </c>
      <c r="E50" s="137">
        <f t="shared" si="10"/>
        <v>-397.38003434597584</v>
      </c>
      <c r="F50" s="163">
        <f t="shared" si="9"/>
        <v>-434.49215262078491</v>
      </c>
      <c r="G50" s="142">
        <f t="shared" si="12"/>
        <v>-498.20189861513018</v>
      </c>
      <c r="Q50" s="58" t="s">
        <v>275</v>
      </c>
      <c r="R50" s="23">
        <v>0</v>
      </c>
      <c r="S50" s="23"/>
      <c r="T50" s="23" t="s">
        <v>115</v>
      </c>
      <c r="U50" s="55">
        <v>0.2</v>
      </c>
      <c r="V50" s="86">
        <v>-3.7870000000000001E-2</v>
      </c>
      <c r="X50" s="51"/>
      <c r="AA50" s="371" t="s">
        <v>89</v>
      </c>
      <c r="AB50" s="356"/>
      <c r="AC50" s="357"/>
    </row>
    <row r="51" spans="1:29" ht="15.75" thickBot="1">
      <c r="Q51" s="58" t="s">
        <v>276</v>
      </c>
      <c r="R51" s="23">
        <v>25</v>
      </c>
      <c r="S51" s="23" t="s">
        <v>114</v>
      </c>
      <c r="T51" s="123" t="s">
        <v>122</v>
      </c>
      <c r="U51" s="124">
        <v>0.4</v>
      </c>
      <c r="V51" s="126">
        <v>-3.823E-2</v>
      </c>
      <c r="X51" s="51"/>
      <c r="AB51" s="53" t="s">
        <v>238</v>
      </c>
      <c r="AC51" s="97" t="s">
        <v>277</v>
      </c>
    </row>
    <row r="52" spans="1:29" ht="15.75" thickBot="1">
      <c r="Q52" s="58" t="s">
        <v>274</v>
      </c>
      <c r="R52" s="114">
        <f>V55</f>
        <v>-3.755413368471007E-2</v>
      </c>
      <c r="S52" s="96"/>
      <c r="T52" s="371" t="s">
        <v>95</v>
      </c>
      <c r="U52" s="356"/>
      <c r="V52" s="357"/>
      <c r="X52" s="51"/>
      <c r="AA52" s="23" t="s">
        <v>106</v>
      </c>
      <c r="AB52" s="55">
        <v>0</v>
      </c>
      <c r="AC52" s="125">
        <f>FORECAST(AB52,AC53:AC54,AB53:AB54)</f>
        <v>-3.7510000000000002E-2</v>
      </c>
    </row>
    <row r="53" spans="1:29">
      <c r="Q53" s="58" t="s">
        <v>278</v>
      </c>
      <c r="R53" s="54">
        <f>R49*J9*D6</f>
        <v>-172.41282419376174</v>
      </c>
      <c r="S53" s="23" t="s">
        <v>92</v>
      </c>
      <c r="U53" s="53" t="s">
        <v>279</v>
      </c>
      <c r="V53" s="97" t="s">
        <v>280</v>
      </c>
      <c r="X53" s="51"/>
      <c r="AA53" s="23" t="s">
        <v>115</v>
      </c>
      <c r="AB53" s="55">
        <v>0.2</v>
      </c>
      <c r="AC53" s="86">
        <v>-3.7870000000000001E-2</v>
      </c>
    </row>
    <row r="54" spans="1:29" ht="15.75" thickBot="1">
      <c r="Q54" s="58" t="s">
        <v>281</v>
      </c>
      <c r="R54" s="54">
        <f>R50*J9*D6</f>
        <v>0</v>
      </c>
      <c r="S54" s="23"/>
      <c r="T54" s="23" t="s">
        <v>106</v>
      </c>
      <c r="U54" s="55">
        <f>R49</f>
        <v>-2.7944533857340768E-2</v>
      </c>
      <c r="V54" s="103">
        <f>V49</f>
        <v>-3.7510000000000002E-2</v>
      </c>
      <c r="X54" s="51"/>
      <c r="AA54" s="123" t="s">
        <v>122</v>
      </c>
      <c r="AB54" s="124">
        <v>0.4</v>
      </c>
      <c r="AC54" s="126">
        <v>-3.823E-2</v>
      </c>
    </row>
    <row r="55" spans="1:29" ht="15.75" thickBot="1">
      <c r="Q55" s="58" t="s">
        <v>282</v>
      </c>
      <c r="R55" s="54">
        <f>R52*J9*D6*D9</f>
        <v>-1016.0119277815179</v>
      </c>
      <c r="S55" s="23" t="s">
        <v>141</v>
      </c>
      <c r="T55" s="23" t="s">
        <v>115</v>
      </c>
      <c r="U55" s="55">
        <v>0</v>
      </c>
      <c r="V55" s="127">
        <f>((U55-U54)/(U56-U54))*(V56-V54)+(V54)</f>
        <v>-3.755413368471007E-2</v>
      </c>
      <c r="X55" s="51"/>
      <c r="AA55" s="371" t="s">
        <v>95</v>
      </c>
      <c r="AB55" s="356"/>
      <c r="AC55" s="357"/>
    </row>
    <row r="56" spans="1:29" ht="15.75" thickBot="1">
      <c r="Q56" s="76"/>
      <c r="R56" s="52"/>
      <c r="S56" s="52"/>
      <c r="T56" s="5" t="s">
        <v>122</v>
      </c>
      <c r="U56" s="92">
        <v>0.2</v>
      </c>
      <c r="V56" s="122">
        <v>-3.7870000000000001E-2</v>
      </c>
      <c r="X56" s="51"/>
      <c r="AB56" s="53" t="s">
        <v>238</v>
      </c>
      <c r="AC56" s="97" t="s">
        <v>283</v>
      </c>
    </row>
    <row r="57" spans="1:29">
      <c r="X57" s="51"/>
      <c r="AA57" s="23" t="s">
        <v>106</v>
      </c>
      <c r="AB57" s="55">
        <v>0</v>
      </c>
      <c r="AC57" s="128">
        <f>AC52</f>
        <v>-3.7510000000000002E-2</v>
      </c>
    </row>
    <row r="58" spans="1:29">
      <c r="X58" s="51"/>
      <c r="AA58" s="23" t="s">
        <v>115</v>
      </c>
      <c r="AB58" s="55">
        <v>0.17648904995658715</v>
      </c>
      <c r="AC58" s="111">
        <f>((AB58-AB57)/(AB59-AB57))*(AC59-AC57)+(AC57)</f>
        <v>-3.782768028992186E-2</v>
      </c>
    </row>
    <row r="59" spans="1:29" ht="15.75" thickBot="1">
      <c r="X59" s="76"/>
      <c r="Y59" s="52"/>
      <c r="Z59" s="52"/>
      <c r="AA59" s="5" t="s">
        <v>122</v>
      </c>
      <c r="AB59" s="92">
        <v>0.2</v>
      </c>
      <c r="AC59" s="129">
        <v>-3.7870000000000001E-2</v>
      </c>
    </row>
  </sheetData>
  <mergeCells count="52">
    <mergeCell ref="X3:Y3"/>
    <mergeCell ref="Q32:R32"/>
    <mergeCell ref="T35:V35"/>
    <mergeCell ref="Q45:R45"/>
    <mergeCell ref="X13:Y13"/>
    <mergeCell ref="X32:Y32"/>
    <mergeCell ref="T47:V47"/>
    <mergeCell ref="T52:V52"/>
    <mergeCell ref="I30:J30"/>
    <mergeCell ref="L32:N32"/>
    <mergeCell ref="Q3:R3"/>
    <mergeCell ref="T6:V6"/>
    <mergeCell ref="Q20:R20"/>
    <mergeCell ref="T23:V23"/>
    <mergeCell ref="T28:V28"/>
    <mergeCell ref="F3:G4"/>
    <mergeCell ref="I3:J3"/>
    <mergeCell ref="I20:J20"/>
    <mergeCell ref="L5:N5"/>
    <mergeCell ref="L20:N20"/>
    <mergeCell ref="F13:G13"/>
    <mergeCell ref="F14:G14"/>
    <mergeCell ref="F16:G16"/>
    <mergeCell ref="F17:G17"/>
    <mergeCell ref="F18:G18"/>
    <mergeCell ref="F19:G19"/>
    <mergeCell ref="F11:G11"/>
    <mergeCell ref="F12:G12"/>
    <mergeCell ref="AE3:AF3"/>
    <mergeCell ref="AH5:AJ5"/>
    <mergeCell ref="AA4:AC4"/>
    <mergeCell ref="AA18:AC18"/>
    <mergeCell ref="AA35:AC35"/>
    <mergeCell ref="AH27:AJ27"/>
    <mergeCell ref="AE27:AG27"/>
    <mergeCell ref="AE26:AF26"/>
    <mergeCell ref="C3:E4"/>
    <mergeCell ref="F15:G15"/>
    <mergeCell ref="F5:G5"/>
    <mergeCell ref="AA50:AC50"/>
    <mergeCell ref="AA55:AC55"/>
    <mergeCell ref="AA40:AC40"/>
    <mergeCell ref="AA45:AC45"/>
    <mergeCell ref="C10:C11"/>
    <mergeCell ref="C12:C13"/>
    <mergeCell ref="F20:G20"/>
    <mergeCell ref="F6:G6"/>
    <mergeCell ref="F7:G7"/>
    <mergeCell ref="F8:G8"/>
    <mergeCell ref="F9:G9"/>
    <mergeCell ref="F10:G10"/>
    <mergeCell ref="C16:C17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7CA6-B34F-4577-B96F-CFEC29CD0651}">
  <sheetPr codeName="Sheet3"/>
  <dimension ref="A1:AR39"/>
  <sheetViews>
    <sheetView topLeftCell="G1" zoomScale="85" zoomScaleNormal="85" workbookViewId="0">
      <selection activeCell="AC23" sqref="AC23"/>
    </sheetView>
  </sheetViews>
  <sheetFormatPr defaultColWidth="8.85546875" defaultRowHeight="15"/>
  <cols>
    <col min="1" max="1" width="9.85546875" customWidth="1"/>
    <col min="2" max="2" width="10.28515625" customWidth="1"/>
    <col min="3" max="3" width="1.7109375" customWidth="1"/>
    <col min="5" max="5" width="13.42578125" style="31" customWidth="1"/>
    <col min="6" max="6" width="1.42578125" customWidth="1"/>
    <col min="10" max="10" width="11.42578125" customWidth="1"/>
    <col min="14" max="14" width="1.7109375" customWidth="1"/>
    <col min="16" max="16" width="11.42578125" customWidth="1"/>
    <col min="17" max="17" width="10.85546875" style="31" customWidth="1"/>
    <col min="18" max="18" width="6.7109375" customWidth="1"/>
    <col min="19" max="19" width="10.28515625" customWidth="1"/>
    <col min="21" max="21" width="3" customWidth="1"/>
    <col min="23" max="23" width="9.140625" style="32"/>
    <col min="24" max="24" width="9.7109375" style="32" customWidth="1"/>
    <col min="25" max="25" width="9.140625" style="32"/>
    <col min="27" max="27" width="2.140625" customWidth="1"/>
    <col min="32" max="32" width="10.28515625" customWidth="1"/>
    <col min="34" max="34" width="2.28515625" customWidth="1"/>
    <col min="40" max="40" width="2.7109375" customWidth="1"/>
  </cols>
  <sheetData>
    <row r="1" spans="1:44">
      <c r="V1" s="347" t="s">
        <v>284</v>
      </c>
      <c r="W1" s="347"/>
      <c r="X1" s="347"/>
      <c r="AI1" s="347" t="s">
        <v>285</v>
      </c>
      <c r="AJ1" s="347"/>
      <c r="AK1" s="347"/>
    </row>
    <row r="2" spans="1:44">
      <c r="A2" s="258" t="s">
        <v>91</v>
      </c>
      <c r="B2" s="40">
        <v>1649.2520999999999</v>
      </c>
      <c r="G2" s="347" t="s">
        <v>286</v>
      </c>
      <c r="H2" s="347"/>
      <c r="I2" s="347"/>
      <c r="W2" s="387" t="s">
        <v>69</v>
      </c>
      <c r="X2" s="387"/>
      <c r="Y2" s="387"/>
      <c r="AJ2" s="387" t="s">
        <v>70</v>
      </c>
      <c r="AK2" s="387"/>
      <c r="AL2" s="387"/>
      <c r="AR2" t="s">
        <v>36</v>
      </c>
    </row>
    <row r="3" spans="1:44" ht="18">
      <c r="A3" s="258" t="s">
        <v>99</v>
      </c>
      <c r="B3" s="33">
        <v>126.521</v>
      </c>
      <c r="D3" s="258" t="s">
        <v>35</v>
      </c>
      <c r="E3" s="54">
        <f>(2.1)+((24000)/(10000+B2))</f>
        <v>4.1602180976064549</v>
      </c>
      <c r="H3" s="388" t="s">
        <v>23</v>
      </c>
      <c r="I3" s="388"/>
      <c r="J3" s="388"/>
      <c r="K3" s="388"/>
      <c r="L3" s="388"/>
      <c r="P3" s="258" t="s">
        <v>287</v>
      </c>
      <c r="Q3" s="259">
        <f>38*(SQRT(B2/B3))</f>
        <v>137.19737799465375</v>
      </c>
      <c r="W3" s="34" t="s">
        <v>24</v>
      </c>
      <c r="X3" s="335" t="s">
        <v>25</v>
      </c>
      <c r="Y3" s="335" t="s">
        <v>26</v>
      </c>
      <c r="AC3" s="258" t="s">
        <v>288</v>
      </c>
      <c r="AD3" s="259">
        <f>(1.5)*(Q3)</f>
        <v>205.79606699198064</v>
      </c>
      <c r="AJ3" s="34" t="s">
        <v>24</v>
      </c>
      <c r="AK3" s="335" t="s">
        <v>25</v>
      </c>
      <c r="AL3" s="335" t="s">
        <v>26</v>
      </c>
      <c r="AP3" s="258" t="s">
        <v>289</v>
      </c>
      <c r="AQ3" s="263">
        <f>B7+0.5</f>
        <v>2.04</v>
      </c>
    </row>
    <row r="4" spans="1:44">
      <c r="A4" s="258" t="s">
        <v>108</v>
      </c>
      <c r="B4" s="40">
        <f>B2/B3</f>
        <v>13.035402028121814</v>
      </c>
      <c r="D4" s="258" t="s">
        <v>290</v>
      </c>
      <c r="E4" s="54">
        <f>(-0.4)*E3</f>
        <v>-1.664087239042582</v>
      </c>
      <c r="H4" s="34" t="s">
        <v>24</v>
      </c>
      <c r="I4" s="335" t="s">
        <v>25</v>
      </c>
      <c r="J4" s="335" t="s">
        <v>26</v>
      </c>
      <c r="K4" s="335" t="s">
        <v>27</v>
      </c>
      <c r="L4" s="335" t="s">
        <v>28</v>
      </c>
      <c r="W4" s="19" t="s">
        <v>291</v>
      </c>
      <c r="X4" s="19" t="s">
        <v>292</v>
      </c>
      <c r="Y4" s="19" t="s">
        <v>293</v>
      </c>
      <c r="AJ4" s="36" t="s">
        <v>291</v>
      </c>
      <c r="AK4" s="36" t="s">
        <v>292</v>
      </c>
      <c r="AL4" s="36" t="s">
        <v>293</v>
      </c>
    </row>
    <row r="5" spans="1:44" ht="18">
      <c r="A5" s="258" t="s">
        <v>294</v>
      </c>
      <c r="B5" s="54">
        <f>(SQRT((B2*2)/(0.002377*B3*B7)))*(3600/5280)</f>
        <v>57.54013012952597</v>
      </c>
      <c r="H5" s="36" t="s">
        <v>291</v>
      </c>
      <c r="I5" s="36" t="s">
        <v>291</v>
      </c>
      <c r="J5" s="36" t="s">
        <v>295</v>
      </c>
      <c r="K5" s="36" t="s">
        <v>292</v>
      </c>
      <c r="L5" s="36" t="s">
        <v>293</v>
      </c>
      <c r="P5" s="258" t="s">
        <v>296</v>
      </c>
      <c r="Q5" s="259">
        <f>0.9*B6</f>
        <v>125.67599999999999</v>
      </c>
      <c r="W5" s="19" t="s">
        <v>36</v>
      </c>
      <c r="X5" s="37" t="s">
        <v>297</v>
      </c>
      <c r="Y5" s="37" t="s">
        <v>297</v>
      </c>
      <c r="AC5" s="258" t="s">
        <v>35</v>
      </c>
      <c r="AD5" s="262">
        <v>1</v>
      </c>
      <c r="AE5" s="263" t="s">
        <v>298</v>
      </c>
      <c r="AF5" s="264">
        <f>((Q9)*(15)*(Q22))/(575*B4)</f>
        <v>7.9975768458905548E-3</v>
      </c>
      <c r="AG5" s="35" t="s">
        <v>291</v>
      </c>
      <c r="AJ5" s="36" t="s">
        <v>36</v>
      </c>
      <c r="AK5" s="38" t="s">
        <v>297</v>
      </c>
      <c r="AL5" s="38" t="s">
        <v>297</v>
      </c>
      <c r="AP5" s="258" t="s">
        <v>299</v>
      </c>
      <c r="AQ5" s="259">
        <f>SQRT((B2/B3)*(2/0.002377)*(1/AQ3))</f>
        <v>73.324234589769674</v>
      </c>
    </row>
    <row r="6" spans="1:44" ht="18">
      <c r="A6" s="258" t="s">
        <v>300</v>
      </c>
      <c r="B6" s="33">
        <v>139.63999999999999</v>
      </c>
      <c r="D6" s="258" t="s">
        <v>301</v>
      </c>
      <c r="E6" s="54">
        <f>(B5)*(SQRT(E3))</f>
        <v>117.36237491384598</v>
      </c>
      <c r="H6" s="36" t="s">
        <v>302</v>
      </c>
      <c r="I6" s="36" t="s">
        <v>37</v>
      </c>
      <c r="J6" s="36" t="s">
        <v>303</v>
      </c>
      <c r="K6" s="38" t="s">
        <v>297</v>
      </c>
      <c r="L6" s="38" t="s">
        <v>297</v>
      </c>
      <c r="W6" s="19">
        <v>0</v>
      </c>
      <c r="X6" s="19">
        <f>1+($S$24*W6)</f>
        <v>1</v>
      </c>
      <c r="Y6" s="19">
        <f>1-($S$24*W6)</f>
        <v>1</v>
      </c>
      <c r="AJ6" s="36">
        <v>0</v>
      </c>
      <c r="AK6" s="36">
        <f>1+($AF$5*AJ6)</f>
        <v>1</v>
      </c>
      <c r="AL6" s="36">
        <f>1-($AF$5*AJ6)</f>
        <v>1</v>
      </c>
    </row>
    <row r="7" spans="1:44" ht="18">
      <c r="A7" s="258" t="s">
        <v>304</v>
      </c>
      <c r="B7" s="33">
        <v>1.54</v>
      </c>
      <c r="D7" s="258" t="s">
        <v>305</v>
      </c>
      <c r="E7" s="55">
        <f>((E3*B2)/((1/2)*0.002377*B3*(E6*(22/15))^2))</f>
        <v>1.54</v>
      </c>
      <c r="H7" s="36">
        <v>0</v>
      </c>
      <c r="I7" s="36">
        <f>H7*(22/15)</f>
        <v>0</v>
      </c>
      <c r="J7" s="36">
        <f>I7^2</f>
        <v>0</v>
      </c>
      <c r="K7" s="36">
        <f>J7*$E$8</f>
        <v>0</v>
      </c>
      <c r="L7" s="36">
        <f>J7*$E$11</f>
        <v>0</v>
      </c>
      <c r="P7" s="258" t="s">
        <v>306</v>
      </c>
      <c r="Q7" s="259">
        <f>MAX(Q3,Q5)</f>
        <v>137.19737799465375</v>
      </c>
      <c r="W7" s="19">
        <f>W6+10</f>
        <v>10</v>
      </c>
      <c r="X7" s="19">
        <f t="shared" ref="X7:X20" si="0">1+($S$24*W7)</f>
        <v>1.1599515369178111</v>
      </c>
      <c r="Y7" s="19">
        <f t="shared" ref="Y7:Y19" si="1">1-($S$24*W7)</f>
        <v>0.84004846308218895</v>
      </c>
      <c r="AC7" s="258" t="s">
        <v>307</v>
      </c>
      <c r="AD7" s="54">
        <f>AD3</f>
        <v>205.79606699198064</v>
      </c>
      <c r="AJ7" s="36">
        <f>AJ6+10</f>
        <v>10</v>
      </c>
      <c r="AK7" s="36">
        <f t="shared" ref="AK7:AK27" si="2">1+($AF$5*AJ7)</f>
        <v>1.0799757684589055</v>
      </c>
      <c r="AL7" s="36">
        <f t="shared" ref="AL7:AL27" si="3">1-($AF$5*AJ7)</f>
        <v>0.92002423154109447</v>
      </c>
      <c r="AP7" s="258" t="s">
        <v>308</v>
      </c>
      <c r="AQ7" s="265">
        <f>1.4*B5</f>
        <v>80.556182181336354</v>
      </c>
      <c r="AR7" s="23" t="s">
        <v>36</v>
      </c>
    </row>
    <row r="8" spans="1:44">
      <c r="C8" t="s">
        <v>64</v>
      </c>
      <c r="D8" s="258" t="s">
        <v>309</v>
      </c>
      <c r="E8" s="255">
        <f>((0.5*E7*0.002377)/(B4))</f>
        <v>1.404091715814702E-4</v>
      </c>
      <c r="H8" s="36">
        <f>H7+10</f>
        <v>10</v>
      </c>
      <c r="I8" s="36">
        <f t="shared" ref="I8:I21" si="4">H8*(22/15)</f>
        <v>14.666666666666666</v>
      </c>
      <c r="J8" s="36">
        <f t="shared" ref="J8:J21" si="5">I8^2</f>
        <v>215.11111111111109</v>
      </c>
      <c r="K8" s="36">
        <f t="shared" ref="K8:K18" si="6">J8*$E$8</f>
        <v>3.0203572909080698E-2</v>
      </c>
      <c r="L8" s="36">
        <f t="shared" ref="L8:L21" si="7">J8*$E$11</f>
        <v>-1.2081429163632279E-2</v>
      </c>
      <c r="W8" s="19">
        <f t="shared" ref="W8:W17" si="8">W7+10</f>
        <v>20</v>
      </c>
      <c r="X8" s="19">
        <f t="shared" si="0"/>
        <v>1.3199030738356221</v>
      </c>
      <c r="Y8" s="19">
        <f t="shared" si="1"/>
        <v>0.68009692616437778</v>
      </c>
      <c r="AC8" s="258" t="s">
        <v>35</v>
      </c>
      <c r="AD8" s="54">
        <f>1+(AF5*AD7)</f>
        <v>2.6458698603504058</v>
      </c>
      <c r="AJ8" s="36">
        <f t="shared" ref="AJ8:AJ19" si="9">AJ7+10</f>
        <v>20</v>
      </c>
      <c r="AK8" s="36">
        <f t="shared" si="2"/>
        <v>1.1599515369178111</v>
      </c>
      <c r="AL8" s="36">
        <f t="shared" si="3"/>
        <v>0.84004846308218895</v>
      </c>
    </row>
    <row r="9" spans="1:44">
      <c r="H9" s="36">
        <f t="shared" ref="H9:H18" si="10">H8+10</f>
        <v>20</v>
      </c>
      <c r="I9" s="36">
        <f t="shared" si="4"/>
        <v>29.333333333333332</v>
      </c>
      <c r="J9" s="36">
        <f t="shared" si="5"/>
        <v>860.44444444444434</v>
      </c>
      <c r="K9" s="36">
        <f t="shared" si="6"/>
        <v>0.12081429163632279</v>
      </c>
      <c r="L9" s="36">
        <f t="shared" si="7"/>
        <v>-4.8325716654529116E-2</v>
      </c>
      <c r="P9" s="258" t="s">
        <v>57</v>
      </c>
      <c r="Q9" s="260">
        <f>(1/2)*((B4)^(1/4))</f>
        <v>0.95006017120611663</v>
      </c>
      <c r="W9" s="19">
        <f t="shared" si="8"/>
        <v>30</v>
      </c>
      <c r="X9" s="19">
        <f t="shared" si="0"/>
        <v>1.4798546107534332</v>
      </c>
      <c r="Y9" s="19">
        <f t="shared" si="1"/>
        <v>0.52014538924656673</v>
      </c>
      <c r="AC9" s="258" t="s">
        <v>293</v>
      </c>
      <c r="AD9" s="54">
        <f>1-(AF5*AD7)</f>
        <v>-0.64586986035040583</v>
      </c>
      <c r="AJ9" s="36">
        <f t="shared" si="9"/>
        <v>30</v>
      </c>
      <c r="AK9" s="36">
        <f t="shared" si="2"/>
        <v>1.2399273053767166</v>
      </c>
      <c r="AL9" s="36">
        <f t="shared" si="3"/>
        <v>0.76007269462328342</v>
      </c>
      <c r="AP9" s="258" t="s">
        <v>163</v>
      </c>
      <c r="AQ9" s="259">
        <f>1.8*(AQ5*(15/22))</f>
        <v>89.988833360171867</v>
      </c>
    </row>
    <row r="10" spans="1:44" ht="18">
      <c r="D10" s="258" t="s">
        <v>310</v>
      </c>
      <c r="E10" s="55">
        <f>((E4*B2)/((1/2)*0.002377*B3*(E6*(22/15))^2))</f>
        <v>-0.6160000000000001</v>
      </c>
      <c r="H10" s="36">
        <f t="shared" si="10"/>
        <v>30</v>
      </c>
      <c r="I10" s="36">
        <f t="shared" si="4"/>
        <v>44</v>
      </c>
      <c r="J10" s="36">
        <f t="shared" si="5"/>
        <v>1936</v>
      </c>
      <c r="K10" s="36">
        <f t="shared" si="6"/>
        <v>0.27183215618172629</v>
      </c>
      <c r="L10" s="36">
        <f t="shared" si="7"/>
        <v>-0.10873286247269053</v>
      </c>
      <c r="W10" s="19">
        <f t="shared" si="8"/>
        <v>40</v>
      </c>
      <c r="X10" s="19">
        <f t="shared" si="0"/>
        <v>1.6398061476712444</v>
      </c>
      <c r="Y10" s="19">
        <f t="shared" si="1"/>
        <v>0.36019385232875556</v>
      </c>
      <c r="AJ10" s="36">
        <f t="shared" si="9"/>
        <v>40</v>
      </c>
      <c r="AK10" s="36">
        <f t="shared" si="2"/>
        <v>1.3199030738356221</v>
      </c>
      <c r="AL10" s="36">
        <f t="shared" si="3"/>
        <v>0.68009692616437778</v>
      </c>
    </row>
    <row r="11" spans="1:44">
      <c r="D11" s="258" t="s">
        <v>311</v>
      </c>
      <c r="E11" s="256">
        <f>((0.5*E10*0.002377)/(B4))</f>
        <v>-5.6163668632588083E-5</v>
      </c>
      <c r="H11" s="36">
        <f t="shared" si="10"/>
        <v>40</v>
      </c>
      <c r="I11" s="36">
        <f t="shared" si="4"/>
        <v>58.666666666666664</v>
      </c>
      <c r="J11" s="36">
        <f t="shared" si="5"/>
        <v>3441.7777777777774</v>
      </c>
      <c r="K11" s="36">
        <f t="shared" si="6"/>
        <v>0.48325716654529116</v>
      </c>
      <c r="L11" s="36">
        <f t="shared" si="7"/>
        <v>-0.19330286661811646</v>
      </c>
      <c r="W11" s="19">
        <f t="shared" si="8"/>
        <v>50</v>
      </c>
      <c r="X11" s="19">
        <f t="shared" si="0"/>
        <v>1.7997576845890555</v>
      </c>
      <c r="Y11" s="19">
        <f t="shared" si="1"/>
        <v>0.2002423154109445</v>
      </c>
      <c r="AJ11" s="36">
        <f t="shared" si="9"/>
        <v>50</v>
      </c>
      <c r="AK11" s="36">
        <f t="shared" si="2"/>
        <v>1.3998788422945276</v>
      </c>
      <c r="AL11" s="36">
        <f t="shared" si="3"/>
        <v>0.60012115770547225</v>
      </c>
      <c r="AQ11" s="54">
        <f>MAX(AQ7,AQ9)</f>
        <v>89.988833360171867</v>
      </c>
    </row>
    <row r="12" spans="1:44">
      <c r="H12" s="36">
        <f t="shared" si="10"/>
        <v>50</v>
      </c>
      <c r="I12" s="36">
        <f t="shared" si="4"/>
        <v>73.333333333333329</v>
      </c>
      <c r="J12" s="36">
        <f t="shared" si="5"/>
        <v>5377.7777777777774</v>
      </c>
      <c r="K12" s="36">
        <f t="shared" si="6"/>
        <v>0.75508932272701745</v>
      </c>
      <c r="L12" s="36">
        <f t="shared" si="7"/>
        <v>-0.302035729090807</v>
      </c>
      <c r="W12" s="19">
        <f t="shared" si="8"/>
        <v>60</v>
      </c>
      <c r="X12" s="19">
        <f t="shared" si="0"/>
        <v>1.9597092215068665</v>
      </c>
      <c r="Y12" s="19">
        <f t="shared" si="1"/>
        <v>4.029077849313345E-2</v>
      </c>
      <c r="AJ12" s="36">
        <f t="shared" si="9"/>
        <v>60</v>
      </c>
      <c r="AK12" s="36">
        <f t="shared" si="2"/>
        <v>1.4798546107534332</v>
      </c>
      <c r="AL12" s="36">
        <f t="shared" si="3"/>
        <v>0.52014538924656673</v>
      </c>
    </row>
    <row r="13" spans="1:44">
      <c r="D13" s="258" t="s">
        <v>309</v>
      </c>
      <c r="E13" s="257">
        <f>E8/(10^(-4))</f>
        <v>1.4040917158147019</v>
      </c>
      <c r="H13" s="36">
        <f t="shared" si="10"/>
        <v>60</v>
      </c>
      <c r="I13" s="36">
        <f t="shared" si="4"/>
        <v>88</v>
      </c>
      <c r="J13" s="36">
        <f t="shared" si="5"/>
        <v>7744</v>
      </c>
      <c r="K13" s="36">
        <f t="shared" si="6"/>
        <v>1.0873286247269052</v>
      </c>
      <c r="L13" s="36">
        <f t="shared" si="7"/>
        <v>-0.4349314498907621</v>
      </c>
      <c r="P13" s="258" t="s">
        <v>312</v>
      </c>
      <c r="Q13" s="40">
        <v>0.6</v>
      </c>
      <c r="W13" s="19">
        <f t="shared" si="8"/>
        <v>70</v>
      </c>
      <c r="X13" s="19">
        <f t="shared" si="0"/>
        <v>2.1196607584246774</v>
      </c>
      <c r="Y13" s="19">
        <f t="shared" si="1"/>
        <v>-0.1196607584246776</v>
      </c>
      <c r="AJ13" s="36">
        <f t="shared" si="9"/>
        <v>70</v>
      </c>
      <c r="AK13" s="36">
        <f t="shared" si="2"/>
        <v>1.5598303792123387</v>
      </c>
      <c r="AL13" s="36">
        <f t="shared" si="3"/>
        <v>0.4401696207876612</v>
      </c>
    </row>
    <row r="14" spans="1:44">
      <c r="H14" s="36">
        <f t="shared" si="10"/>
        <v>70</v>
      </c>
      <c r="I14" s="36">
        <f t="shared" si="4"/>
        <v>102.66666666666666</v>
      </c>
      <c r="J14" s="36">
        <f t="shared" si="5"/>
        <v>10540.444444444442</v>
      </c>
      <c r="K14" s="36">
        <f t="shared" si="6"/>
        <v>1.4799750725449539</v>
      </c>
      <c r="L14" s="36">
        <f t="shared" si="7"/>
        <v>-0.59199002901798159</v>
      </c>
      <c r="P14" s="258" t="s">
        <v>313</v>
      </c>
      <c r="Q14" s="40">
        <v>6.2126999999999999</v>
      </c>
      <c r="W14" s="19">
        <f t="shared" si="8"/>
        <v>80</v>
      </c>
      <c r="X14" s="19">
        <f t="shared" si="0"/>
        <v>2.2796122953424889</v>
      </c>
      <c r="Y14" s="19">
        <f t="shared" si="1"/>
        <v>-0.27961229534248888</v>
      </c>
      <c r="AJ14" s="36">
        <f t="shared" si="9"/>
        <v>80</v>
      </c>
      <c r="AK14" s="36">
        <f t="shared" si="2"/>
        <v>1.6398061476712444</v>
      </c>
      <c r="AL14" s="36">
        <f t="shared" si="3"/>
        <v>0.36019385232875556</v>
      </c>
    </row>
    <row r="15" spans="1:44">
      <c r="D15" s="258" t="s">
        <v>311</v>
      </c>
      <c r="E15" s="257">
        <f>E11/(10^(-5))</f>
        <v>-5.6163668632588077</v>
      </c>
      <c r="H15" s="36">
        <f t="shared" si="10"/>
        <v>80</v>
      </c>
      <c r="I15" s="36">
        <f t="shared" si="4"/>
        <v>117.33333333333333</v>
      </c>
      <c r="J15" s="36">
        <f t="shared" si="5"/>
        <v>13767.111111111109</v>
      </c>
      <c r="K15" s="36">
        <f t="shared" si="6"/>
        <v>1.9330286661811646</v>
      </c>
      <c r="L15" s="36">
        <f t="shared" si="7"/>
        <v>-0.77321146647246586</v>
      </c>
      <c r="W15" s="19">
        <f t="shared" si="8"/>
        <v>90</v>
      </c>
      <c r="X15" s="19">
        <f t="shared" si="0"/>
        <v>2.4395638322602999</v>
      </c>
      <c r="Y15" s="19">
        <f t="shared" si="1"/>
        <v>-0.43956383226029994</v>
      </c>
      <c r="AJ15" s="36">
        <f t="shared" si="9"/>
        <v>90</v>
      </c>
      <c r="AK15" s="36">
        <f t="shared" si="2"/>
        <v>1.71978191613015</v>
      </c>
      <c r="AL15" s="36">
        <f t="shared" si="3"/>
        <v>0.28021808386985003</v>
      </c>
    </row>
    <row r="16" spans="1:44">
      <c r="H16" s="36">
        <f>H15+10</f>
        <v>90</v>
      </c>
      <c r="I16" s="36">
        <f t="shared" si="4"/>
        <v>132</v>
      </c>
      <c r="J16" s="36">
        <f t="shared" si="5"/>
        <v>17424</v>
      </c>
      <c r="K16" s="36">
        <f t="shared" si="6"/>
        <v>2.4464894056355369</v>
      </c>
      <c r="L16" s="36">
        <f t="shared" si="7"/>
        <v>-0.97859576225421474</v>
      </c>
      <c r="P16" s="258" t="s">
        <v>312</v>
      </c>
      <c r="Q16" s="40">
        <v>0</v>
      </c>
      <c r="R16" s="23"/>
      <c r="W16" s="19">
        <f t="shared" si="8"/>
        <v>100</v>
      </c>
      <c r="X16" s="19">
        <f t="shared" si="0"/>
        <v>2.599515369178111</v>
      </c>
      <c r="Y16" s="19">
        <f t="shared" si="1"/>
        <v>-0.59951536917811099</v>
      </c>
      <c r="AJ16" s="36">
        <f t="shared" si="9"/>
        <v>100</v>
      </c>
      <c r="AK16" s="36">
        <f t="shared" si="2"/>
        <v>1.7997576845890555</v>
      </c>
      <c r="AL16" s="36">
        <f t="shared" si="3"/>
        <v>0.2002423154109445</v>
      </c>
    </row>
    <row r="17" spans="4:38" ht="18">
      <c r="H17" s="36">
        <f t="shared" si="10"/>
        <v>100</v>
      </c>
      <c r="I17" s="36">
        <f t="shared" si="4"/>
        <v>146.66666666666666</v>
      </c>
      <c r="J17" s="36">
        <f t="shared" si="5"/>
        <v>21511.111111111109</v>
      </c>
      <c r="K17" s="36">
        <f t="shared" si="6"/>
        <v>3.0203572909080698</v>
      </c>
      <c r="L17" s="36">
        <f t="shared" si="7"/>
        <v>-1.208142916363228</v>
      </c>
      <c r="P17" s="258" t="s">
        <v>314</v>
      </c>
      <c r="Q17" s="40">
        <v>-1.96</v>
      </c>
      <c r="R17" s="23"/>
      <c r="W17" s="19">
        <f t="shared" si="8"/>
        <v>110</v>
      </c>
      <c r="X17" s="19">
        <f t="shared" si="0"/>
        <v>2.759466906095922</v>
      </c>
      <c r="Y17" s="19">
        <f t="shared" si="1"/>
        <v>-0.75946690609592205</v>
      </c>
      <c r="AJ17" s="36">
        <f t="shared" si="9"/>
        <v>110</v>
      </c>
      <c r="AK17" s="36">
        <f t="shared" si="2"/>
        <v>1.879733453047961</v>
      </c>
      <c r="AL17" s="36">
        <f t="shared" si="3"/>
        <v>0.12026654695203898</v>
      </c>
    </row>
    <row r="18" spans="4:38">
      <c r="H18" s="36">
        <f t="shared" si="10"/>
        <v>110</v>
      </c>
      <c r="I18" s="36">
        <f t="shared" si="4"/>
        <v>161.33333333333331</v>
      </c>
      <c r="J18" s="36">
        <f t="shared" si="5"/>
        <v>26028.444444444438</v>
      </c>
      <c r="K18" s="36">
        <f t="shared" si="6"/>
        <v>3.654632321998764</v>
      </c>
      <c r="L18" s="36">
        <f t="shared" si="7"/>
        <v>-1.4618529287995057</v>
      </c>
      <c r="W18" s="19">
        <v>120</v>
      </c>
      <c r="X18" s="19">
        <f t="shared" si="0"/>
        <v>2.9194184430137331</v>
      </c>
      <c r="Y18" s="19">
        <f t="shared" si="1"/>
        <v>-0.9194184430137331</v>
      </c>
      <c r="AJ18" s="42">
        <f t="shared" si="9"/>
        <v>120</v>
      </c>
      <c r="AK18" s="36">
        <f t="shared" si="2"/>
        <v>1.9597092215068665</v>
      </c>
      <c r="AL18" s="36">
        <f t="shared" si="3"/>
        <v>4.029077849313345E-2</v>
      </c>
    </row>
    <row r="19" spans="4:38">
      <c r="H19" s="19">
        <v>117.36</v>
      </c>
      <c r="I19" s="36">
        <f t="shared" si="4"/>
        <v>172.12799999999999</v>
      </c>
      <c r="J19" s="36">
        <f>I19^2</f>
        <v>29628.048383999994</v>
      </c>
      <c r="K19" s="36">
        <f>J19*$E$8</f>
        <v>4.1600497291731564</v>
      </c>
      <c r="L19" s="36">
        <f>J19*$E$11</f>
        <v>-1.6640198916692626</v>
      </c>
      <c r="Q19"/>
      <c r="R19" s="19">
        <v>130</v>
      </c>
      <c r="S19" s="41">
        <f>1+($S$24*R19)</f>
        <v>3.0793699799315442</v>
      </c>
      <c r="T19" s="41">
        <f>1-($S$24*R19)</f>
        <v>-1.0793699799315442</v>
      </c>
      <c r="W19" s="19">
        <v>130</v>
      </c>
      <c r="X19" s="19">
        <f t="shared" si="0"/>
        <v>3.0793699799315442</v>
      </c>
      <c r="Y19" s="19">
        <f t="shared" si="1"/>
        <v>-1.0793699799315442</v>
      </c>
      <c r="AE19" s="42">
        <v>130</v>
      </c>
      <c r="AF19" s="42">
        <f t="shared" ref="AF19" si="11">1+($AF$5*AE19)</f>
        <v>2.0396849899657719</v>
      </c>
      <c r="AG19" s="42">
        <f t="shared" ref="AG19" si="12">1-($AF$5*AE19)</f>
        <v>-3.9684989965772077E-2</v>
      </c>
      <c r="AJ19" s="42">
        <f t="shared" si="9"/>
        <v>130</v>
      </c>
      <c r="AK19" s="36">
        <f t="shared" si="2"/>
        <v>2.0396849899657719</v>
      </c>
      <c r="AL19" s="36">
        <f t="shared" si="3"/>
        <v>-3.9684989965772077E-2</v>
      </c>
    </row>
    <row r="20" spans="4:38">
      <c r="P20" s="258" t="s">
        <v>173</v>
      </c>
      <c r="Q20" s="261">
        <f>(Q13/(Q14-Q17))</f>
        <v>7.3415150439879118E-2</v>
      </c>
      <c r="W20" s="19">
        <v>137.19737799465375</v>
      </c>
      <c r="X20" s="19">
        <f t="shared" si="0"/>
        <v>3.1944931471338744</v>
      </c>
      <c r="Y20" s="19">
        <f>1-($S$24*W20)</f>
        <v>-1.1944931471338744</v>
      </c>
      <c r="AJ20" s="42">
        <v>140</v>
      </c>
      <c r="AK20" s="36">
        <f t="shared" si="2"/>
        <v>2.1196607584246774</v>
      </c>
      <c r="AL20" s="36">
        <f t="shared" si="3"/>
        <v>-0.1196607584246776</v>
      </c>
    </row>
    <row r="21" spans="4:38">
      <c r="D21" s="347" t="s">
        <v>315</v>
      </c>
      <c r="E21" s="347"/>
      <c r="H21" s="36">
        <v>0</v>
      </c>
      <c r="I21" s="36">
        <f t="shared" si="4"/>
        <v>0</v>
      </c>
      <c r="J21" s="36">
        <f t="shared" si="5"/>
        <v>0</v>
      </c>
      <c r="K21" s="36">
        <f>J21*$E$8</f>
        <v>0</v>
      </c>
      <c r="L21" s="36">
        <f t="shared" si="7"/>
        <v>0</v>
      </c>
      <c r="AJ21" s="42">
        <v>150</v>
      </c>
      <c r="AK21" s="36">
        <f t="shared" si="2"/>
        <v>2.1996365268835829</v>
      </c>
      <c r="AL21" s="36">
        <f t="shared" si="3"/>
        <v>-0.19963652688358313</v>
      </c>
    </row>
    <row r="22" spans="4:38">
      <c r="D22" s="258" t="s">
        <v>316</v>
      </c>
      <c r="E22" s="54">
        <f>(E6/100)*2</f>
        <v>2.3472474982769196</v>
      </c>
      <c r="H22" s="43"/>
      <c r="I22" s="43"/>
      <c r="J22" s="43"/>
      <c r="K22" s="43"/>
      <c r="L22" s="43"/>
      <c r="P22" s="258" t="s">
        <v>173</v>
      </c>
      <c r="Q22" s="259">
        <f>Q20*(180/PI())</f>
        <v>4.2063782725230823</v>
      </c>
      <c r="R22" s="23" t="s">
        <v>317</v>
      </c>
      <c r="AJ22" s="42">
        <v>160</v>
      </c>
      <c r="AK22" s="36">
        <f t="shared" si="2"/>
        <v>2.2796122953424889</v>
      </c>
      <c r="AL22" s="36">
        <f t="shared" si="3"/>
        <v>-0.27961229534248888</v>
      </c>
    </row>
    <row r="23" spans="4:38">
      <c r="D23" s="258"/>
      <c r="E23" s="54">
        <f>E22*2</f>
        <v>4.6944949965538392</v>
      </c>
      <c r="H23" s="43"/>
      <c r="I23" s="43"/>
      <c r="J23" s="43"/>
      <c r="K23" s="43"/>
      <c r="L23" s="43"/>
      <c r="AJ23" s="42">
        <v>170</v>
      </c>
      <c r="AK23" s="36">
        <f t="shared" si="2"/>
        <v>2.3595880638013944</v>
      </c>
      <c r="AL23" s="36">
        <f t="shared" si="3"/>
        <v>-0.35958806380139441</v>
      </c>
    </row>
    <row r="24" spans="4:38">
      <c r="H24" s="43"/>
      <c r="I24" s="43"/>
      <c r="J24" s="43"/>
      <c r="K24" s="43"/>
      <c r="L24" s="43"/>
      <c r="P24" s="258" t="s">
        <v>35</v>
      </c>
      <c r="Q24" s="262">
        <v>1</v>
      </c>
      <c r="R24" s="263" t="s">
        <v>298</v>
      </c>
      <c r="S24" s="264">
        <f>((Q9)*(30)*(Q22))/(575*B4)</f>
        <v>1.599515369178111E-2</v>
      </c>
      <c r="T24" s="263" t="s">
        <v>291</v>
      </c>
      <c r="AJ24" s="42">
        <v>180</v>
      </c>
      <c r="AK24" s="36">
        <f t="shared" si="2"/>
        <v>2.4395638322602999</v>
      </c>
      <c r="AL24" s="36">
        <f t="shared" si="3"/>
        <v>-0.43956383226029994</v>
      </c>
    </row>
    <row r="25" spans="4:38">
      <c r="D25" s="258" t="s">
        <v>306</v>
      </c>
      <c r="E25" s="54">
        <f>(Q26/100)*2</f>
        <v>2.7439475598930749</v>
      </c>
      <c r="H25" s="43"/>
      <c r="I25" s="43"/>
      <c r="J25" s="43"/>
      <c r="K25" s="43"/>
      <c r="L25" s="43"/>
      <c r="AJ25" s="42">
        <v>190</v>
      </c>
      <c r="AK25" s="36">
        <f t="shared" si="2"/>
        <v>2.5195396007192055</v>
      </c>
      <c r="AL25" s="36">
        <f t="shared" si="3"/>
        <v>-0.51953960071920546</v>
      </c>
    </row>
    <row r="26" spans="4:38">
      <c r="D26" s="258"/>
      <c r="E26" s="54">
        <f>E25*2</f>
        <v>5.4878951197861499</v>
      </c>
      <c r="H26" s="43"/>
      <c r="I26" s="43"/>
      <c r="J26" s="43"/>
      <c r="K26" s="43"/>
      <c r="L26" s="43"/>
      <c r="P26" s="258" t="s">
        <v>318</v>
      </c>
      <c r="Q26" s="54">
        <f>Q7</f>
        <v>137.19737799465375</v>
      </c>
      <c r="AJ26" s="42">
        <v>200</v>
      </c>
      <c r="AK26" s="36">
        <f t="shared" si="2"/>
        <v>2.599515369178111</v>
      </c>
      <c r="AL26" s="36">
        <f t="shared" si="3"/>
        <v>-0.59951536917811099</v>
      </c>
    </row>
    <row r="27" spans="4:38">
      <c r="H27" s="31"/>
      <c r="I27" s="31"/>
      <c r="J27" s="31"/>
      <c r="K27" s="31"/>
      <c r="L27" s="31"/>
      <c r="P27" s="258" t="s">
        <v>35</v>
      </c>
      <c r="Q27" s="259">
        <f>1+(S24*Q26)</f>
        <v>3.1944931471338744</v>
      </c>
      <c r="AJ27" s="42">
        <v>205.79606699198064</v>
      </c>
      <c r="AK27" s="36">
        <f t="shared" si="2"/>
        <v>2.6458698603504058</v>
      </c>
      <c r="AL27" s="36">
        <f t="shared" si="3"/>
        <v>-0.64586986035040583</v>
      </c>
    </row>
    <row r="28" spans="4:38">
      <c r="D28" s="258" t="s">
        <v>319</v>
      </c>
      <c r="E28" s="54">
        <f>(AD3/100)*2</f>
        <v>4.1159213398396126</v>
      </c>
      <c r="H28" s="31"/>
      <c r="I28" s="31"/>
      <c r="J28" s="31"/>
      <c r="K28" s="31"/>
      <c r="L28" s="31"/>
      <c r="P28" s="258" t="s">
        <v>320</v>
      </c>
      <c r="Q28" s="259">
        <f>1-(S24*Q26)</f>
        <v>-1.1944931471338744</v>
      </c>
      <c r="AJ28" s="31"/>
    </row>
    <row r="29" spans="4:38">
      <c r="D29" s="258"/>
      <c r="E29" s="54">
        <f>E28*2</f>
        <v>8.2318426796792252</v>
      </c>
      <c r="H29" s="31"/>
      <c r="I29" s="31"/>
      <c r="J29" s="31"/>
      <c r="K29" s="31"/>
      <c r="L29" s="31"/>
      <c r="AJ29" s="31"/>
    </row>
    <row r="30" spans="4:38">
      <c r="H30" s="31"/>
      <c r="I30" s="31"/>
      <c r="J30" s="31"/>
      <c r="K30" s="31"/>
      <c r="L30" s="31"/>
    </row>
    <row r="31" spans="4:38">
      <c r="D31" s="258" t="s">
        <v>321</v>
      </c>
      <c r="E31" s="54">
        <f>(B5/100)*2</f>
        <v>1.1508026025905194</v>
      </c>
      <c r="H31" s="31"/>
      <c r="I31" s="31"/>
      <c r="J31" s="31"/>
      <c r="K31" s="31"/>
      <c r="L31" s="31"/>
    </row>
    <row r="32" spans="4:38">
      <c r="D32" s="258"/>
      <c r="E32" s="54">
        <f>E31*2</f>
        <v>2.3016052051810387</v>
      </c>
      <c r="H32" s="31"/>
      <c r="I32" s="31"/>
      <c r="J32" s="31"/>
      <c r="K32" s="31"/>
      <c r="L32" s="31"/>
    </row>
    <row r="33" spans="4:12">
      <c r="H33" s="31"/>
      <c r="I33" s="31"/>
      <c r="J33" s="31"/>
      <c r="K33" s="31"/>
      <c r="L33" s="31"/>
    </row>
    <row r="34" spans="4:12">
      <c r="D34" s="258" t="s">
        <v>322</v>
      </c>
      <c r="E34" s="54">
        <f>(AQ11/100)*2</f>
        <v>1.7997766672034374</v>
      </c>
      <c r="H34" s="31"/>
      <c r="I34" s="31"/>
      <c r="J34" s="31"/>
      <c r="K34" s="31"/>
      <c r="L34" s="31"/>
    </row>
    <row r="35" spans="4:12">
      <c r="D35" s="258"/>
      <c r="E35" s="54">
        <f>E34*2</f>
        <v>3.5995533344068749</v>
      </c>
      <c r="H35" s="31"/>
      <c r="I35" s="31"/>
      <c r="J35" s="31"/>
      <c r="K35" s="31"/>
      <c r="L35" s="31"/>
    </row>
    <row r="36" spans="4:12">
      <c r="H36" s="31"/>
      <c r="I36" s="31"/>
      <c r="J36" s="31"/>
      <c r="K36" s="31"/>
      <c r="L36" s="31"/>
    </row>
    <row r="37" spans="4:12">
      <c r="D37" s="258" t="s">
        <v>323</v>
      </c>
      <c r="E37" s="54">
        <f>(AQ5/100)*2</f>
        <v>1.4664846917953935</v>
      </c>
      <c r="H37" s="31"/>
      <c r="I37" s="31"/>
      <c r="J37" s="31"/>
      <c r="K37" s="31"/>
      <c r="L37" s="31"/>
    </row>
    <row r="38" spans="4:12">
      <c r="D38" s="258"/>
      <c r="E38" s="54">
        <f>E37*2</f>
        <v>2.9329693835907871</v>
      </c>
      <c r="H38" s="31"/>
      <c r="I38" s="31"/>
      <c r="J38" s="31"/>
      <c r="K38" s="31"/>
      <c r="L38" s="31"/>
    </row>
    <row r="39" spans="4:12">
      <c r="H39" s="31"/>
      <c r="I39" s="31"/>
      <c r="J39" s="31"/>
      <c r="K39" s="31"/>
      <c r="L39" s="31"/>
    </row>
  </sheetData>
  <mergeCells count="7">
    <mergeCell ref="D21:E21"/>
    <mergeCell ref="V1:X1"/>
    <mergeCell ref="AI1:AK1"/>
    <mergeCell ref="G2:I2"/>
    <mergeCell ref="W2:Y2"/>
    <mergeCell ref="AJ2:AL2"/>
    <mergeCell ref="H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ADB2-ED9F-E74C-BE88-BFAE4122B63D}">
  <sheetPr codeName="Sheet5"/>
  <dimension ref="B1:AA56"/>
  <sheetViews>
    <sheetView topLeftCell="M24" zoomScale="85" zoomScaleNormal="85" workbookViewId="0">
      <selection activeCell="Y17" sqref="Y17"/>
    </sheetView>
  </sheetViews>
  <sheetFormatPr defaultColWidth="11.42578125" defaultRowHeight="15"/>
  <cols>
    <col min="11" max="11" width="14" customWidth="1"/>
    <col min="19" max="19" width="14" customWidth="1"/>
    <col min="20" max="20" width="18.140625" bestFit="1" customWidth="1"/>
  </cols>
  <sheetData>
    <row r="1" spans="3:27" ht="15.75" thickBot="1"/>
    <row r="2" spans="3:27" ht="15.75" thickBot="1">
      <c r="I2" s="426" t="s">
        <v>324</v>
      </c>
      <c r="J2" s="426" t="s">
        <v>325</v>
      </c>
      <c r="K2" s="425" t="s">
        <v>326</v>
      </c>
      <c r="L2" s="425"/>
      <c r="M2" s="425" t="s">
        <v>327</v>
      </c>
      <c r="N2" s="425"/>
      <c r="P2" s="371" t="s">
        <v>328</v>
      </c>
      <c r="Q2" s="356"/>
      <c r="R2" s="357"/>
      <c r="S2" s="371" t="s">
        <v>89</v>
      </c>
      <c r="T2" s="356"/>
      <c r="U2" s="357"/>
      <c r="V2" s="371" t="s">
        <v>329</v>
      </c>
      <c r="W2" s="356"/>
      <c r="X2" s="357"/>
      <c r="Y2" s="371" t="s">
        <v>89</v>
      </c>
      <c r="Z2" s="356"/>
      <c r="AA2" s="357"/>
    </row>
    <row r="3" spans="3:27">
      <c r="C3" s="363" t="s">
        <v>79</v>
      </c>
      <c r="D3" s="364"/>
      <c r="E3" s="364"/>
      <c r="F3" s="364" t="s">
        <v>80</v>
      </c>
      <c r="G3" s="380"/>
      <c r="I3" s="426"/>
      <c r="J3" s="426"/>
      <c r="K3" s="330" t="s">
        <v>186</v>
      </c>
      <c r="L3" s="330" t="s">
        <v>188</v>
      </c>
      <c r="M3" s="330" t="s">
        <v>189</v>
      </c>
      <c r="N3" s="330" t="s">
        <v>244</v>
      </c>
      <c r="Q3" s="53" t="s">
        <v>102</v>
      </c>
      <c r="R3" s="53" t="s">
        <v>0</v>
      </c>
      <c r="T3" s="53" t="s">
        <v>11</v>
      </c>
      <c r="U3" s="97" t="s">
        <v>0</v>
      </c>
      <c r="W3" s="53" t="s">
        <v>102</v>
      </c>
      <c r="X3" s="53" t="s">
        <v>0</v>
      </c>
      <c r="Z3" s="53" t="s">
        <v>11</v>
      </c>
      <c r="AA3" s="97" t="s">
        <v>0</v>
      </c>
    </row>
    <row r="4" spans="3:27" ht="15.75" thickBot="1">
      <c r="C4" s="365"/>
      <c r="D4" s="366"/>
      <c r="E4" s="366"/>
      <c r="F4" s="366"/>
      <c r="G4" s="381"/>
      <c r="I4" s="170">
        <v>1</v>
      </c>
      <c r="J4" s="329" t="s">
        <v>91</v>
      </c>
      <c r="K4" s="36">
        <f>D5</f>
        <v>1649.2521457653345</v>
      </c>
      <c r="L4" s="36">
        <f>D5</f>
        <v>1649.2521457653345</v>
      </c>
      <c r="M4" s="36">
        <f>D5</f>
        <v>1649.2521457653345</v>
      </c>
      <c r="N4" s="36">
        <f>D5</f>
        <v>1649.2521457653345</v>
      </c>
      <c r="P4" s="23" t="s">
        <v>106</v>
      </c>
      <c r="Q4" s="55">
        <f>'ACT 1'!L9</f>
        <v>1.1850000000000001</v>
      </c>
      <c r="R4" s="55">
        <v>1.2</v>
      </c>
      <c r="S4" s="23" t="s">
        <v>106</v>
      </c>
      <c r="T4" s="54">
        <f>'ACT 3'!J33</f>
        <v>-0.32319854798186254</v>
      </c>
      <c r="U4" s="87">
        <f>FORECAST(T4,U5:U6,T5:T6)</f>
        <v>-0.32319854798186254</v>
      </c>
      <c r="V4" s="23" t="s">
        <v>106</v>
      </c>
      <c r="W4" s="55">
        <v>0.4</v>
      </c>
      <c r="X4" s="55">
        <v>0.4</v>
      </c>
      <c r="Y4" s="23" t="s">
        <v>106</v>
      </c>
      <c r="Z4" s="55">
        <f>'ACT 3'!R35</f>
        <v>-0.10868240197929903</v>
      </c>
      <c r="AA4" s="87" t="e">
        <f>FORECAST(Z4,AA5:AA6,Z4:Z6)</f>
        <v>#N/A</v>
      </c>
    </row>
    <row r="5" spans="3:27">
      <c r="C5" s="326" t="s">
        <v>91</v>
      </c>
      <c r="D5" s="166">
        <f>'ACT 3'!D5</f>
        <v>1649.2521457653345</v>
      </c>
      <c r="E5" s="325" t="s">
        <v>92</v>
      </c>
      <c r="F5" s="369" t="s">
        <v>93</v>
      </c>
      <c r="G5" s="370"/>
      <c r="I5" s="170">
        <v>2</v>
      </c>
      <c r="J5" s="329" t="s">
        <v>330</v>
      </c>
      <c r="K5" s="36">
        <f>0.00256*$D$7^2</f>
        <v>48.829923034505065</v>
      </c>
      <c r="L5" s="36">
        <f>0.00256*$D$7^2</f>
        <v>48.829923034505065</v>
      </c>
      <c r="M5" s="36">
        <f>0.00256*$D$11^2</f>
        <v>155.3760170574254</v>
      </c>
      <c r="N5" s="36">
        <f>0.00256*$D$11^2</f>
        <v>155.3760170574254</v>
      </c>
      <c r="P5" s="23" t="s">
        <v>115</v>
      </c>
      <c r="Q5" s="55">
        <f>'ACT 3'!J10</f>
        <v>1.3193190215283852</v>
      </c>
      <c r="R5" s="81">
        <f>((Q5-Q4)/(Q6-Q4))*(R6-R4)+(R4)</f>
        <v>1.3428925760940267</v>
      </c>
      <c r="S5" s="23" t="s">
        <v>115</v>
      </c>
      <c r="T5" s="54">
        <v>0</v>
      </c>
      <c r="U5" s="54">
        <v>0</v>
      </c>
      <c r="V5" s="23" t="s">
        <v>115</v>
      </c>
      <c r="W5" s="55">
        <f>'ACT 3'!R12</f>
        <v>0.41462344271641743</v>
      </c>
      <c r="X5" s="81">
        <f>((W5-W4)/(W6-W4))*(X6-X4)+(X4)</f>
        <v>0.41462344271641743</v>
      </c>
      <c r="Y5" s="23" t="s">
        <v>115</v>
      </c>
      <c r="Z5" s="39">
        <v>0</v>
      </c>
      <c r="AA5" s="54">
        <v>0</v>
      </c>
    </row>
    <row r="6" spans="3:27">
      <c r="C6" s="332" t="s">
        <v>99</v>
      </c>
      <c r="D6" s="36">
        <f>'ACT 3'!D6</f>
        <v>126.52100068226807</v>
      </c>
      <c r="E6" s="324" t="s">
        <v>100</v>
      </c>
      <c r="F6" s="367" t="s">
        <v>93</v>
      </c>
      <c r="G6" s="368"/>
      <c r="I6" s="170">
        <v>3</v>
      </c>
      <c r="J6" s="329" t="s">
        <v>108</v>
      </c>
      <c r="K6" s="36">
        <f>$K$4/$D$6</f>
        <v>13.03540231954929</v>
      </c>
      <c r="L6" s="36">
        <f t="shared" ref="L6:N6" si="0">$K$4/$D$6</f>
        <v>13.03540231954929</v>
      </c>
      <c r="M6" s="36">
        <f t="shared" si="0"/>
        <v>13.03540231954929</v>
      </c>
      <c r="N6" s="36">
        <f t="shared" si="0"/>
        <v>13.03540231954929</v>
      </c>
      <c r="P6" s="23" t="s">
        <v>122</v>
      </c>
      <c r="Q6" s="55">
        <f>'ACT 1'!L10</f>
        <v>1.373</v>
      </c>
      <c r="R6" s="55">
        <v>1.4</v>
      </c>
      <c r="S6" s="23" t="s">
        <v>122</v>
      </c>
      <c r="T6" s="54">
        <v>0.2</v>
      </c>
      <c r="U6" s="54">
        <v>0.2</v>
      </c>
      <c r="V6" s="23" t="s">
        <v>122</v>
      </c>
      <c r="W6" s="55">
        <v>0.6</v>
      </c>
      <c r="X6" s="55">
        <v>0.6</v>
      </c>
      <c r="Y6" s="23" t="s">
        <v>122</v>
      </c>
      <c r="Z6" s="55">
        <v>0.2</v>
      </c>
      <c r="AA6" s="54">
        <v>0.2</v>
      </c>
    </row>
    <row r="7" spans="3:27">
      <c r="C7" s="372" t="s">
        <v>331</v>
      </c>
      <c r="D7" s="36">
        <f>'ACT 3'!D12</f>
        <v>138.10933598187177</v>
      </c>
      <c r="E7" s="324" t="s">
        <v>36</v>
      </c>
      <c r="F7" s="413" t="s">
        <v>144</v>
      </c>
      <c r="G7" s="427"/>
      <c r="I7" s="170">
        <v>4</v>
      </c>
      <c r="J7" s="329" t="s">
        <v>332</v>
      </c>
      <c r="K7" s="172">
        <f>K5/K6</f>
        <v>3.7459467561867625</v>
      </c>
      <c r="L7" s="172">
        <f t="shared" ref="L7:N7" si="1">L5/L6</f>
        <v>3.7459467561867625</v>
      </c>
      <c r="M7" s="172">
        <f t="shared" si="1"/>
        <v>11.919541357339376</v>
      </c>
      <c r="N7" s="172">
        <f t="shared" si="1"/>
        <v>11.919541357339376</v>
      </c>
    </row>
    <row r="8" spans="3:27">
      <c r="C8" s="373"/>
      <c r="D8" s="36">
        <f>'ACT 3'!D13</f>
        <v>202.56081980453186</v>
      </c>
      <c r="E8" s="324" t="s">
        <v>37</v>
      </c>
      <c r="F8" s="415"/>
      <c r="G8" s="428"/>
      <c r="I8" s="170">
        <v>5</v>
      </c>
      <c r="J8" s="329" t="s">
        <v>333</v>
      </c>
      <c r="K8" s="36">
        <f>'ACT 3'!J6</f>
        <v>3.9355489382931736</v>
      </c>
      <c r="L8" s="36">
        <f>'ACT 3'!J32</f>
        <v>-1.2090800059123206</v>
      </c>
      <c r="M8" s="36">
        <f>'ACT 3'!R10</f>
        <v>4.9355489382931736</v>
      </c>
      <c r="N8" s="36">
        <f>'ACT 3'!R34</f>
        <v>-0.97029121807330743</v>
      </c>
    </row>
    <row r="9" spans="3:27">
      <c r="C9" s="372" t="s">
        <v>334</v>
      </c>
      <c r="D9" s="36">
        <f>'ACT 2 v2'!AQ5</f>
        <v>73.324234589769674</v>
      </c>
      <c r="E9" s="324" t="s">
        <v>37</v>
      </c>
      <c r="F9" s="413" t="s">
        <v>164</v>
      </c>
      <c r="G9" s="427"/>
      <c r="I9" s="170">
        <v>6</v>
      </c>
      <c r="J9" s="329" t="s">
        <v>11</v>
      </c>
      <c r="K9" s="172">
        <f>K8/K7</f>
        <v>1.0506152901915293</v>
      </c>
      <c r="L9" s="172">
        <f t="shared" ref="L9:N9" si="2">L8/L7</f>
        <v>-0.322770205934032</v>
      </c>
      <c r="M9" s="172">
        <f t="shared" si="2"/>
        <v>0.41407205112419387</v>
      </c>
      <c r="N9" s="172">
        <f t="shared" si="2"/>
        <v>-8.1403402109583453E-2</v>
      </c>
    </row>
    <row r="10" spans="3:27" ht="45" customHeight="1">
      <c r="C10" s="373"/>
      <c r="D10">
        <f>D9*(15/22)</f>
        <v>49.993796311206594</v>
      </c>
      <c r="E10" s="324" t="s">
        <v>36</v>
      </c>
      <c r="F10" s="415"/>
      <c r="G10" s="428"/>
      <c r="I10" s="170">
        <v>7</v>
      </c>
      <c r="J10" s="171" t="s">
        <v>335</v>
      </c>
      <c r="K10" s="172">
        <f>R5</f>
        <v>1.3428925760940267</v>
      </c>
      <c r="L10" s="172">
        <f>U4</f>
        <v>-0.32319854798186254</v>
      </c>
      <c r="M10" s="172">
        <f>X5</f>
        <v>0.41462344271641743</v>
      </c>
      <c r="N10" s="172">
        <f>Z4</f>
        <v>-0.10868240197929903</v>
      </c>
    </row>
    <row r="11" spans="3:27" ht="45" customHeight="1">
      <c r="C11" s="372" t="s">
        <v>336</v>
      </c>
      <c r="D11" s="36">
        <f>MAX('ACT 3'!R6:R8)</f>
        <v>246.36102910780511</v>
      </c>
      <c r="E11" s="324" t="s">
        <v>36</v>
      </c>
      <c r="F11" s="413" t="s">
        <v>164</v>
      </c>
      <c r="G11" s="427"/>
      <c r="I11" s="170">
        <v>8</v>
      </c>
      <c r="J11" s="171" t="s">
        <v>337</v>
      </c>
      <c r="K11" s="4">
        <f>'ACT 3'!J12</f>
        <v>-0.2766595107641926</v>
      </c>
      <c r="L11" s="4">
        <f>'ACT 3'!J34</f>
        <v>0</v>
      </c>
      <c r="M11" s="4">
        <f>'ACT 3'!R13</f>
        <v>0</v>
      </c>
      <c r="N11" s="4">
        <f>'ACT 3'!R36</f>
        <v>0</v>
      </c>
    </row>
    <row r="12" spans="3:27">
      <c r="C12" s="373"/>
      <c r="D12" s="4">
        <f>D11*(22/15)</f>
        <v>361.32950935811414</v>
      </c>
      <c r="E12" s="324" t="s">
        <v>37</v>
      </c>
      <c r="F12" s="415"/>
      <c r="G12" s="428"/>
      <c r="I12" s="170">
        <v>9</v>
      </c>
      <c r="J12" s="329" t="s">
        <v>338</v>
      </c>
      <c r="K12" s="4">
        <f>K11*K7</f>
        <v>-1.036351796915344</v>
      </c>
      <c r="L12" s="4">
        <f t="shared" ref="L12:N12" si="3">L11*L7</f>
        <v>0</v>
      </c>
      <c r="M12" s="4">
        <f t="shared" si="3"/>
        <v>0</v>
      </c>
      <c r="N12" s="4">
        <f t="shared" si="3"/>
        <v>0</v>
      </c>
    </row>
    <row r="13" spans="3:27">
      <c r="C13" s="168" t="s">
        <v>339</v>
      </c>
      <c r="D13" s="4">
        <f>'ACT 3'!D15</f>
        <v>0.24099999999999999</v>
      </c>
      <c r="E13" s="324" t="s">
        <v>125</v>
      </c>
      <c r="F13" s="367" t="s">
        <v>153</v>
      </c>
      <c r="G13" s="368"/>
      <c r="I13" s="170">
        <v>10</v>
      </c>
      <c r="J13" s="329" t="s">
        <v>340</v>
      </c>
      <c r="K13" s="4">
        <f>$D$17/K4</f>
        <v>0.16051875713299241</v>
      </c>
      <c r="L13" s="4">
        <f>$D$17/L4</f>
        <v>0.16051875713299241</v>
      </c>
      <c r="M13" s="4">
        <v>0</v>
      </c>
      <c r="N13" s="4">
        <v>0</v>
      </c>
      <c r="O13" s="341" t="s">
        <v>341</v>
      </c>
      <c r="P13" s="341"/>
      <c r="Q13" s="341"/>
    </row>
    <row r="14" spans="3:27">
      <c r="C14" s="372" t="s">
        <v>342</v>
      </c>
      <c r="D14" s="42">
        <f>'ACT 3'!D9</f>
        <v>4.3849875262317353</v>
      </c>
      <c r="E14" s="328" t="s">
        <v>125</v>
      </c>
      <c r="F14" s="413" t="s">
        <v>343</v>
      </c>
      <c r="G14" s="414"/>
      <c r="I14" s="170">
        <v>11</v>
      </c>
      <c r="J14" s="329" t="s">
        <v>344</v>
      </c>
      <c r="K14" s="173">
        <f>'ACT 3'!J14</f>
        <v>-3.3114907440362482E-2</v>
      </c>
      <c r="L14" s="173">
        <f>'ACT 3'!J36</f>
        <v>-3.9837029545469402E-2</v>
      </c>
      <c r="M14" s="173">
        <f>'ACT 3'!R15</f>
        <v>-3.8105800000000002E-2</v>
      </c>
      <c r="N14" s="173">
        <f>'ACT 3'!R38</f>
        <v>-3.9835647448232259E-2</v>
      </c>
    </row>
    <row r="15" spans="3:27">
      <c r="C15" s="373"/>
      <c r="D15" s="32">
        <f>D14*0.3048</f>
        <v>1.3365441979954329</v>
      </c>
      <c r="E15" s="191" t="s">
        <v>345</v>
      </c>
      <c r="F15" s="415"/>
      <c r="G15" s="416"/>
      <c r="I15" s="170">
        <v>12</v>
      </c>
      <c r="J15" s="329" t="s">
        <v>346</v>
      </c>
      <c r="K15" s="4">
        <f>K14*K7</f>
        <v>-0.12404668010765073</v>
      </c>
      <c r="L15" s="4">
        <f t="shared" ref="L15:N15" si="4">L14*L7</f>
        <v>-0.14922739160196732</v>
      </c>
      <c r="M15" s="4">
        <f t="shared" si="4"/>
        <v>-0.45420365905450283</v>
      </c>
      <c r="N15" s="4">
        <f t="shared" si="4"/>
        <v>-0.4748226472555952</v>
      </c>
    </row>
    <row r="16" spans="3:27">
      <c r="C16" s="168" t="s">
        <v>347</v>
      </c>
      <c r="D16" s="42">
        <f>'[1]ACT 11'!$Q$25</f>
        <v>97.5</v>
      </c>
      <c r="E16" s="328" t="s">
        <v>348</v>
      </c>
      <c r="F16" s="429" t="s">
        <v>144</v>
      </c>
      <c r="G16" s="430"/>
      <c r="I16" s="170">
        <v>13</v>
      </c>
      <c r="J16" s="329" t="s">
        <v>349</v>
      </c>
      <c r="K16" s="4">
        <f>O36</f>
        <v>-0.1373372324903161</v>
      </c>
      <c r="L16" s="4">
        <f>M43</f>
        <v>-7.8183396685435266E-2</v>
      </c>
      <c r="M16" s="4">
        <f>M46</f>
        <v>0.16046420846583828</v>
      </c>
      <c r="N16" s="4">
        <f>M49</f>
        <v>-0.19791559026142441</v>
      </c>
    </row>
    <row r="17" spans="2:25">
      <c r="C17" s="188" t="s">
        <v>350</v>
      </c>
      <c r="D17" s="36">
        <f>(375*D16)/D7</f>
        <v>264.73590463717233</v>
      </c>
      <c r="E17" s="324" t="s">
        <v>92</v>
      </c>
      <c r="F17" s="333"/>
      <c r="G17" s="334"/>
      <c r="I17" s="170">
        <v>14</v>
      </c>
      <c r="J17" s="329" t="s">
        <v>351</v>
      </c>
      <c r="K17" s="4">
        <f>-K8-K16</f>
        <v>-3.7982117058028577</v>
      </c>
      <c r="L17" s="4">
        <f t="shared" ref="L17:M17" si="5">-L8-L16</f>
        <v>1.2872634025977558</v>
      </c>
      <c r="M17" s="4">
        <f t="shared" si="5"/>
        <v>-5.0960131467590122</v>
      </c>
      <c r="N17" s="4">
        <f>-N8-N16</f>
        <v>1.1682068083347319</v>
      </c>
    </row>
    <row r="18" spans="2:25" ht="30.75" thickBot="1">
      <c r="C18" s="189" t="s">
        <v>352</v>
      </c>
      <c r="D18" s="36">
        <f>'[1]ACT 3'!$V$18</f>
        <v>0.87283753478808368</v>
      </c>
      <c r="E18" s="324" t="s">
        <v>345</v>
      </c>
      <c r="F18" s="23"/>
      <c r="G18" s="86"/>
      <c r="I18" s="170">
        <v>15</v>
      </c>
      <c r="J18" s="329" t="s">
        <v>353</v>
      </c>
      <c r="K18" s="4">
        <f>-K12-K13</f>
        <v>0.8758330397823515</v>
      </c>
      <c r="L18" s="4">
        <f t="shared" ref="L18:N18" si="6">-L12-L13</f>
        <v>-0.16051875713299241</v>
      </c>
      <c r="M18" s="4">
        <f t="shared" si="6"/>
        <v>0</v>
      </c>
      <c r="N18" s="4">
        <f t="shared" si="6"/>
        <v>0</v>
      </c>
    </row>
    <row r="19" spans="2:25" ht="30.75" thickBot="1">
      <c r="C19" s="190" t="s">
        <v>354</v>
      </c>
      <c r="D19" s="169">
        <f>'[1]ACT 3'!$Y$18</f>
        <v>0.91317131220450909</v>
      </c>
      <c r="E19" s="327" t="s">
        <v>345</v>
      </c>
      <c r="F19" s="5"/>
      <c r="G19" s="6"/>
      <c r="I19" s="170">
        <v>16</v>
      </c>
      <c r="J19" s="329" t="s">
        <v>355</v>
      </c>
      <c r="K19" s="36">
        <f>K4*K16</f>
        <v>-226.50372537812643</v>
      </c>
      <c r="L19" s="36">
        <f t="shared" ref="L19:N19" si="7">L4*L16</f>
        <v>-128.94413474667644</v>
      </c>
      <c r="M19" s="36">
        <f t="shared" si="7"/>
        <v>264.64594013081972</v>
      </c>
      <c r="N19" s="36">
        <f t="shared" si="7"/>
        <v>-326.41271191906696</v>
      </c>
      <c r="R19" s="201"/>
      <c r="S19" s="397" t="s">
        <v>356</v>
      </c>
      <c r="T19" s="398"/>
      <c r="U19" s="399"/>
      <c r="V19" s="201"/>
    </row>
    <row r="20" spans="2:25">
      <c r="I20" s="170">
        <v>17</v>
      </c>
      <c r="J20" s="329" t="s">
        <v>357</v>
      </c>
      <c r="K20" s="335"/>
      <c r="L20" s="335"/>
      <c r="M20" s="335"/>
      <c r="N20" s="335"/>
      <c r="S20" s="403" t="s">
        <v>358</v>
      </c>
      <c r="T20" s="404"/>
      <c r="U20" s="405"/>
    </row>
    <row r="21" spans="2:25">
      <c r="I21" s="170">
        <v>18</v>
      </c>
      <c r="J21" s="329" t="s">
        <v>359</v>
      </c>
      <c r="K21" s="335">
        <v>-0.01</v>
      </c>
      <c r="L21" s="335">
        <v>-0.01</v>
      </c>
      <c r="M21" s="335">
        <v>-0.01</v>
      </c>
      <c r="N21" s="335">
        <v>-0.01</v>
      </c>
      <c r="S21" s="198" t="s">
        <v>360</v>
      </c>
      <c r="T21" s="54" cm="1">
        <f t="array" ref="T21">0.4*MAX(ABS(K25:N25))</f>
        <v>160.97403153812161</v>
      </c>
      <c r="U21" s="86" t="s">
        <v>92</v>
      </c>
    </row>
    <row r="22" spans="2:25">
      <c r="B22" s="331" t="s">
        <v>361</v>
      </c>
      <c r="C22" s="323" t="s">
        <v>346</v>
      </c>
      <c r="D22" s="229">
        <f>0.2*'[1]ACT 3'!$S$16</f>
        <v>0.26730883959908658</v>
      </c>
      <c r="E22" s="23" t="s">
        <v>345</v>
      </c>
      <c r="F22" s="23" t="s">
        <v>362</v>
      </c>
      <c r="G22" s="23"/>
      <c r="I22" s="170">
        <v>19</v>
      </c>
      <c r="J22" s="329" t="s">
        <v>363</v>
      </c>
      <c r="K22" s="4">
        <f>K21*K7</f>
        <v>-3.7459467561867625E-2</v>
      </c>
      <c r="L22" s="4">
        <f t="shared" ref="L22:N22" si="8">L21*L7</f>
        <v>-3.7459467561867625E-2</v>
      </c>
      <c r="M22" s="4">
        <f t="shared" si="8"/>
        <v>-0.11919541357339376</v>
      </c>
      <c r="N22" s="4">
        <f t="shared" si="8"/>
        <v>-0.11919541357339376</v>
      </c>
      <c r="S22" s="198" t="s">
        <v>364</v>
      </c>
      <c r="T22" s="54" cm="1">
        <f t="array" ref="T22">MAX(ABS(K25:N25))+T21</f>
        <v>563.40911038342551</v>
      </c>
      <c r="U22" s="86" t="s">
        <v>92</v>
      </c>
    </row>
    <row r="23" spans="2:25">
      <c r="B23" s="331" t="s">
        <v>365</v>
      </c>
      <c r="C23" s="323" t="s">
        <v>349</v>
      </c>
      <c r="D23" s="229">
        <f>0.2*D18</f>
        <v>0.17456750695761675</v>
      </c>
      <c r="E23" s="23" t="s">
        <v>345</v>
      </c>
      <c r="F23" s="23" t="s">
        <v>362</v>
      </c>
      <c r="G23" s="23"/>
      <c r="I23" s="170">
        <v>20</v>
      </c>
      <c r="J23" s="329" t="s">
        <v>366</v>
      </c>
      <c r="K23" s="4">
        <f>K22/$N$37</f>
        <v>-1.4486263632340424E-2</v>
      </c>
      <c r="L23" s="4">
        <f t="shared" ref="L23:N23" si="9">L22/$N$37</f>
        <v>-1.4486263632340424E-2</v>
      </c>
      <c r="M23" s="4">
        <f t="shared" si="9"/>
        <v>-4.6095054125855864E-2</v>
      </c>
      <c r="N23" s="4">
        <f t="shared" si="9"/>
        <v>-4.6095054125855864E-2</v>
      </c>
      <c r="S23" s="198" t="s">
        <v>367</v>
      </c>
      <c r="T23" s="54">
        <f>T22/(1.75*'[1]ACT 3'!$U$26)</f>
        <v>17.845397784041168</v>
      </c>
      <c r="U23" s="86" t="s">
        <v>109</v>
      </c>
      <c r="X23" s="54">
        <v>17.845397784041168</v>
      </c>
      <c r="Y23" s="30">
        <f>0.15*'[1]ACT 3'!$V$28</f>
        <v>6.5603115000000004E-2</v>
      </c>
    </row>
    <row r="24" spans="2:25">
      <c r="I24" s="170">
        <v>21</v>
      </c>
      <c r="J24" s="329" t="s">
        <v>368</v>
      </c>
      <c r="K24" s="36">
        <f>K4*K23</f>
        <v>-23.891501379759774</v>
      </c>
      <c r="L24" s="36">
        <f t="shared" ref="L24:N24" si="10">L4*L23</f>
        <v>-23.891501379759774</v>
      </c>
      <c r="M24" s="36">
        <f t="shared" si="10"/>
        <v>-76.022366926237012</v>
      </c>
      <c r="N24" s="36">
        <f t="shared" si="10"/>
        <v>-76.022366926237012</v>
      </c>
      <c r="S24" s="51"/>
      <c r="U24" s="73"/>
      <c r="X24" s="54">
        <v>35.690795568082336</v>
      </c>
      <c r="Y24" s="30">
        <f>0.45*'[1]ACT 3'!$V$28</f>
        <v>0.19680934500000002</v>
      </c>
    </row>
    <row r="25" spans="2:25">
      <c r="I25" s="170">
        <v>22</v>
      </c>
      <c r="J25" s="329" t="s">
        <v>369</v>
      </c>
      <c r="K25" s="36">
        <f>K19+K24</f>
        <v>-250.39522675788621</v>
      </c>
      <c r="L25" s="36">
        <f t="shared" ref="L25:N25" si="11">L19+L24</f>
        <v>-152.83563612643621</v>
      </c>
      <c r="M25" s="36">
        <f t="shared" si="11"/>
        <v>188.62357320458273</v>
      </c>
      <c r="N25" s="36">
        <f t="shared" si="11"/>
        <v>-402.43507884530396</v>
      </c>
      <c r="S25" s="198" t="s">
        <v>370</v>
      </c>
      <c r="T25" s="30">
        <f>0.15*'[1]ACT 3'!$V$28</f>
        <v>6.5603115000000004E-2</v>
      </c>
      <c r="U25" s="86" t="s">
        <v>345</v>
      </c>
      <c r="X25" s="54">
        <v>53.536193352123504</v>
      </c>
      <c r="Y25" s="30">
        <f>0.4*'[1]ACT 3'!$V$28</f>
        <v>0.17494164000000001</v>
      </c>
    </row>
    <row r="26" spans="2:25" ht="15.75" thickBot="1">
      <c r="S26" s="198" t="s">
        <v>371</v>
      </c>
      <c r="T26" s="30">
        <f>0.45*'[1]ACT 3'!$V$28</f>
        <v>0.19680934500000002</v>
      </c>
      <c r="U26" s="86" t="s">
        <v>345</v>
      </c>
    </row>
    <row r="27" spans="2:25" ht="15.75" thickBot="1">
      <c r="C27" s="420" t="s">
        <v>372</v>
      </c>
      <c r="D27" s="421"/>
      <c r="E27" s="422"/>
      <c r="S27" s="198" t="s">
        <v>373</v>
      </c>
      <c r="T27" s="30">
        <f>0.4*'[1]ACT 3'!$V$28</f>
        <v>0.17494164000000001</v>
      </c>
      <c r="U27" s="86" t="s">
        <v>345</v>
      </c>
    </row>
    <row r="28" spans="2:25">
      <c r="C28" s="423" t="s">
        <v>374</v>
      </c>
      <c r="D28" s="19">
        <f>D29*3.28084</f>
        <v>1.434888825444</v>
      </c>
      <c r="E28" s="86" t="s">
        <v>125</v>
      </c>
      <c r="I28" s="417" t="s">
        <v>375</v>
      </c>
      <c r="J28" s="418"/>
      <c r="K28" s="419"/>
      <c r="M28" s="417" t="s">
        <v>376</v>
      </c>
      <c r="N28" s="418"/>
      <c r="O28" s="419"/>
      <c r="S28" s="51"/>
      <c r="U28" s="73"/>
    </row>
    <row r="29" spans="2:25" ht="15.75" thickBot="1">
      <c r="C29" s="424"/>
      <c r="D29" s="266">
        <v>0.43735410000000002</v>
      </c>
      <c r="E29" s="6" t="s">
        <v>345</v>
      </c>
      <c r="I29" s="58" t="s">
        <v>377</v>
      </c>
      <c r="J29" s="23">
        <v>3.5421084</v>
      </c>
      <c r="K29" s="86" t="s">
        <v>345</v>
      </c>
      <c r="M29" s="58" t="s">
        <v>378</v>
      </c>
      <c r="N29">
        <v>8.5990570000000002E-2</v>
      </c>
      <c r="O29" s="73" t="s">
        <v>345</v>
      </c>
      <c r="S29" s="198" t="s">
        <v>379</v>
      </c>
      <c r="T29" s="54">
        <f>3*T23</f>
        <v>53.536193352123504</v>
      </c>
      <c r="U29" s="86" t="s">
        <v>109</v>
      </c>
    </row>
    <row r="30" spans="2:25">
      <c r="I30" s="194" t="s">
        <v>377</v>
      </c>
      <c r="J30" s="30">
        <f>J29/D15</f>
        <v>2.6501992267165591</v>
      </c>
      <c r="K30" s="86" t="s">
        <v>345</v>
      </c>
      <c r="M30" s="194" t="s">
        <v>378</v>
      </c>
      <c r="N30" s="22">
        <f>N29/D15</f>
        <v>6.4337992061145322E-2</v>
      </c>
      <c r="O30" s="73" t="s">
        <v>345</v>
      </c>
      <c r="S30" s="198" t="s">
        <v>380</v>
      </c>
      <c r="T30" s="54">
        <f>2*T23</f>
        <v>35.690795568082336</v>
      </c>
      <c r="U30" s="86" t="s">
        <v>109</v>
      </c>
    </row>
    <row r="31" spans="2:25">
      <c r="I31" s="189" t="s">
        <v>381</v>
      </c>
      <c r="J31" s="23">
        <v>7.5905699999999996E-3</v>
      </c>
      <c r="K31" s="86" t="s">
        <v>345</v>
      </c>
      <c r="M31" s="58" t="s">
        <v>382</v>
      </c>
      <c r="N31">
        <v>1.3335710000000001E-2</v>
      </c>
      <c r="O31" s="73" t="s">
        <v>345</v>
      </c>
      <c r="S31" s="51"/>
      <c r="U31" s="73"/>
    </row>
    <row r="32" spans="2:25">
      <c r="I32" s="194" t="s">
        <v>381</v>
      </c>
      <c r="J32" s="30">
        <f>J31/D15</f>
        <v>5.6792510201940493E-3</v>
      </c>
      <c r="K32" s="86" t="s">
        <v>345</v>
      </c>
      <c r="M32" s="194" t="s">
        <v>382</v>
      </c>
      <c r="N32" s="22">
        <f>N31/D15</f>
        <v>9.9777545852962283E-3</v>
      </c>
      <c r="O32" s="73" t="s">
        <v>345</v>
      </c>
      <c r="S32" s="400" t="s">
        <v>383</v>
      </c>
      <c r="T32" s="401"/>
      <c r="U32" s="402"/>
    </row>
    <row r="33" spans="9:21">
      <c r="I33" s="58" t="s">
        <v>382</v>
      </c>
      <c r="J33" s="23">
        <v>1.8735709999999999E-2</v>
      </c>
      <c r="K33" s="86" t="s">
        <v>345</v>
      </c>
      <c r="M33" s="51"/>
      <c r="O33" s="73"/>
      <c r="S33" s="198" t="s">
        <v>384</v>
      </c>
      <c r="T33" s="54">
        <f>0.15+(5400/(D5+3300))</f>
        <v>1.2410739321738402</v>
      </c>
      <c r="U33" s="86"/>
    </row>
    <row r="34" spans="9:21" ht="15.75" thickBot="1">
      <c r="I34" s="194" t="s">
        <v>382</v>
      </c>
      <c r="J34" s="30">
        <f>J33/D15</f>
        <v>1.4018025014137259E-2</v>
      </c>
      <c r="K34" s="86" t="s">
        <v>345</v>
      </c>
      <c r="M34" s="196" t="s">
        <v>349</v>
      </c>
      <c r="N34" s="120">
        <f>(1/(J30+N30))*(K15+(K12*N32)-(K8*N30)+(K13*(J36-N32)))</f>
        <v>-0.1373372324903161</v>
      </c>
      <c r="O34" s="73"/>
      <c r="S34" s="198" t="s">
        <v>385</v>
      </c>
      <c r="T34" s="54">
        <f>D10+(1.22)*(D7-D10)</f>
        <v>157.49475470941809</v>
      </c>
      <c r="U34" s="86" t="s">
        <v>36</v>
      </c>
    </row>
    <row r="35" spans="9:21">
      <c r="I35" s="58" t="s">
        <v>386</v>
      </c>
      <c r="J35" s="23">
        <v>0.13644519999999999</v>
      </c>
      <c r="K35" s="86" t="s">
        <v>345</v>
      </c>
      <c r="M35" s="51"/>
      <c r="O35" s="73"/>
      <c r="S35" s="198" t="s">
        <v>387</v>
      </c>
      <c r="T35" s="54">
        <f>0.5*0.002377*(22/15)^2*(T34^2)</f>
        <v>63.415324393064154</v>
      </c>
      <c r="U35" s="86" t="s">
        <v>109</v>
      </c>
    </row>
    <row r="36" spans="9:21">
      <c r="I36" s="194" t="s">
        <v>386</v>
      </c>
      <c r="J36" s="30">
        <f>J35/D15</f>
        <v>0.10208805679950005</v>
      </c>
      <c r="K36" s="86" t="s">
        <v>345</v>
      </c>
      <c r="M36" s="412" t="s">
        <v>388</v>
      </c>
      <c r="N36" s="396"/>
      <c r="O36" s="200">
        <f>MIN(N34,J38)</f>
        <v>-0.1373372324903161</v>
      </c>
      <c r="S36" s="202" t="s">
        <v>389</v>
      </c>
      <c r="T36" s="54">
        <f>(-0.55)*(T35)</f>
        <v>-34.878428416185287</v>
      </c>
      <c r="U36" s="86" t="s">
        <v>109</v>
      </c>
    </row>
    <row r="37" spans="9:21" ht="15.75" thickBot="1">
      <c r="I37" s="51"/>
      <c r="K37" s="73"/>
      <c r="M37" s="91" t="s">
        <v>390</v>
      </c>
      <c r="N37" s="120">
        <f>J30-N30</f>
        <v>2.5858612346554137</v>
      </c>
      <c r="O37" s="6" t="s">
        <v>345</v>
      </c>
      <c r="S37" s="202" t="s">
        <v>391</v>
      </c>
      <c r="T37" s="54">
        <f>(0.35)*(T35)</f>
        <v>22.195363537572451</v>
      </c>
      <c r="U37" s="86" t="s">
        <v>109</v>
      </c>
    </row>
    <row r="38" spans="9:21" ht="15.75" thickBot="1">
      <c r="I38" s="195" t="s">
        <v>349</v>
      </c>
      <c r="J38" s="120">
        <f>(1/(J30+J32))*(K15+(K12*J34)-(K8*J32)+(K13*(J36-J34)))</f>
        <v>-5.5269232018973838E-2</v>
      </c>
      <c r="K38" s="6"/>
      <c r="S38" s="51"/>
      <c r="U38" s="73"/>
    </row>
    <row r="39" spans="9:21">
      <c r="S39" s="400" t="s">
        <v>392</v>
      </c>
      <c r="T39" s="401"/>
      <c r="U39" s="402"/>
    </row>
    <row r="40" spans="9:21" ht="45.75" thickBot="1">
      <c r="S40" s="203" t="s">
        <v>393</v>
      </c>
      <c r="T40" s="54">
        <f>0.45*T35</f>
        <v>28.536895976878871</v>
      </c>
      <c r="U40" s="86" t="s">
        <v>109</v>
      </c>
    </row>
    <row r="41" spans="9:21">
      <c r="I41" s="409" t="s">
        <v>394</v>
      </c>
      <c r="J41" s="410"/>
      <c r="K41" s="410"/>
      <c r="L41" s="410" t="s">
        <v>395</v>
      </c>
      <c r="M41" s="410"/>
      <c r="N41" s="411"/>
      <c r="S41" s="198" t="s">
        <v>396</v>
      </c>
      <c r="T41" s="54">
        <f>0.226*D7*(4/(3+(6/2)))</f>
        <v>20.808473287935346</v>
      </c>
      <c r="U41" s="86" t="s">
        <v>109</v>
      </c>
    </row>
    <row r="42" spans="9:21">
      <c r="I42" s="198" t="s">
        <v>349</v>
      </c>
      <c r="J42" s="30">
        <f>(1/(J30+J32))*(L15+(L8*J32)+(L13*(J36-J34)))</f>
        <v>-5.3450174624391118E-2</v>
      </c>
      <c r="K42" s="23"/>
      <c r="L42" s="193" t="s">
        <v>349</v>
      </c>
      <c r="M42" s="30">
        <f>(1/(J30+N30))*(L15+(L8*N30)+(L13*(J36-N32)))</f>
        <v>-7.8183396685435266E-2</v>
      </c>
      <c r="N42" s="86"/>
      <c r="S42" s="51"/>
      <c r="U42" s="73"/>
    </row>
    <row r="43" spans="9:21">
      <c r="I43" s="58"/>
      <c r="J43" s="22"/>
      <c r="K43" s="396" t="s">
        <v>397</v>
      </c>
      <c r="L43" s="396"/>
      <c r="M43" s="197">
        <f>MIN(J42,M42)</f>
        <v>-7.8183396685435266E-2</v>
      </c>
      <c r="N43" s="73"/>
      <c r="S43" s="400" t="s">
        <v>398</v>
      </c>
      <c r="T43" s="401"/>
      <c r="U43" s="402"/>
    </row>
    <row r="44" spans="9:21">
      <c r="I44" s="408" t="s">
        <v>399</v>
      </c>
      <c r="J44" s="406"/>
      <c r="K44" s="406"/>
      <c r="L44" s="406" t="s">
        <v>400</v>
      </c>
      <c r="M44" s="406"/>
      <c r="N44" s="407"/>
      <c r="S44" s="198" t="s">
        <v>367</v>
      </c>
      <c r="T44" s="54">
        <f>0.45*T35</f>
        <v>28.536895976878871</v>
      </c>
      <c r="U44" s="86" t="s">
        <v>109</v>
      </c>
    </row>
    <row r="45" spans="9:21">
      <c r="I45" s="198" t="s">
        <v>349</v>
      </c>
      <c r="J45" s="30">
        <f>(1/(J30+J32))*(-M15-(M8*J32))</f>
        <v>0.16046420846583828</v>
      </c>
      <c r="K45" s="23"/>
      <c r="L45" s="193" t="s">
        <v>349</v>
      </c>
      <c r="M45" s="30">
        <f>(1/(J30+N30))*(-M15-(M8*N30))</f>
        <v>5.0343885395956182E-2</v>
      </c>
      <c r="N45" s="86"/>
      <c r="S45" s="51"/>
      <c r="T45" s="204"/>
      <c r="U45" s="205"/>
    </row>
    <row r="46" spans="9:21">
      <c r="I46" s="58"/>
      <c r="J46" s="22"/>
      <c r="K46" s="396" t="s">
        <v>397</v>
      </c>
      <c r="L46" s="396"/>
      <c r="M46" s="197">
        <f>MAX(J45,M45)</f>
        <v>0.16046420846583828</v>
      </c>
      <c r="N46" s="73"/>
      <c r="S46" s="392" t="s">
        <v>401</v>
      </c>
      <c r="T46" s="393"/>
      <c r="U46" s="394"/>
    </row>
    <row r="47" spans="9:21">
      <c r="I47" s="408" t="s">
        <v>402</v>
      </c>
      <c r="J47" s="406"/>
      <c r="K47" s="406"/>
      <c r="L47" s="406" t="s">
        <v>403</v>
      </c>
      <c r="M47" s="406"/>
      <c r="N47" s="407"/>
      <c r="S47" s="198" t="s">
        <v>322</v>
      </c>
      <c r="T47" s="54">
        <f>2*D10</f>
        <v>99.987592622413189</v>
      </c>
      <c r="U47" s="86" t="s">
        <v>36</v>
      </c>
    </row>
    <row r="48" spans="9:21">
      <c r="I48" s="198" t="s">
        <v>349</v>
      </c>
      <c r="J48" s="30">
        <f>(1/(J30+J32))*(N15+(N8*J32))</f>
        <v>-0.18085660871616627</v>
      </c>
      <c r="K48" s="23"/>
      <c r="L48" s="193" t="s">
        <v>349</v>
      </c>
      <c r="M48" s="30">
        <f>(1/(J30+N30))*(N15+(N8*N30))</f>
        <v>-0.19791559026142441</v>
      </c>
      <c r="N48" s="86"/>
      <c r="S48" s="51"/>
      <c r="U48" s="73"/>
    </row>
    <row r="49" spans="9:21" ht="15.75" thickBot="1">
      <c r="I49" s="91"/>
      <c r="J49" s="192"/>
      <c r="K49" s="395" t="s">
        <v>397</v>
      </c>
      <c r="L49" s="395"/>
      <c r="M49" s="199">
        <f>MIN(J48,M48)</f>
        <v>-0.19791559026142441</v>
      </c>
      <c r="N49" s="75"/>
      <c r="S49" s="392" t="s">
        <v>404</v>
      </c>
      <c r="T49" s="393"/>
      <c r="U49" s="394"/>
    </row>
    <row r="50" spans="9:21">
      <c r="S50" s="389" t="s">
        <v>405</v>
      </c>
      <c r="T50" s="390"/>
      <c r="U50" s="391"/>
    </row>
    <row r="51" spans="9:21">
      <c r="S51" s="198" t="s">
        <v>387</v>
      </c>
      <c r="T51" s="54">
        <f>0.5*0.002377*(22/15)^2*(60^2)</f>
        <v>9.2037439999999986</v>
      </c>
      <c r="U51" s="86" t="s">
        <v>109</v>
      </c>
    </row>
    <row r="52" spans="9:21">
      <c r="S52" s="198" t="s">
        <v>406</v>
      </c>
      <c r="T52" s="54">
        <f>0.895*T51</f>
        <v>8.2373508799999993</v>
      </c>
      <c r="U52" s="86" t="s">
        <v>109</v>
      </c>
    </row>
    <row r="53" spans="9:21">
      <c r="S53" s="198" t="s">
        <v>407</v>
      </c>
      <c r="T53" s="54">
        <f>2*T52</f>
        <v>16.474701759999999</v>
      </c>
      <c r="U53" s="86" t="s">
        <v>109</v>
      </c>
    </row>
    <row r="54" spans="9:21">
      <c r="S54" s="389" t="s">
        <v>408</v>
      </c>
      <c r="T54" s="390"/>
      <c r="U54" s="391"/>
    </row>
    <row r="55" spans="9:21">
      <c r="S55" s="198" t="s">
        <v>406</v>
      </c>
      <c r="T55" s="54">
        <f>1.3*T51</f>
        <v>11.964867199999999</v>
      </c>
      <c r="U55" s="86" t="s">
        <v>109</v>
      </c>
    </row>
    <row r="56" spans="9:21" ht="15.75" thickBot="1">
      <c r="S56" s="195" t="s">
        <v>407</v>
      </c>
      <c r="T56" s="93">
        <f>2*T55</f>
        <v>23.929734399999997</v>
      </c>
      <c r="U56" s="6" t="s">
        <v>109</v>
      </c>
    </row>
  </sheetData>
  <mergeCells count="46">
    <mergeCell ref="S2:U2"/>
    <mergeCell ref="O13:Q13"/>
    <mergeCell ref="P2:R2"/>
    <mergeCell ref="V2:X2"/>
    <mergeCell ref="Y2:AA2"/>
    <mergeCell ref="C3:E4"/>
    <mergeCell ref="F3:G4"/>
    <mergeCell ref="F5:G5"/>
    <mergeCell ref="F6:G6"/>
    <mergeCell ref="C7:C8"/>
    <mergeCell ref="F9:G10"/>
    <mergeCell ref="F11:G12"/>
    <mergeCell ref="F13:G13"/>
    <mergeCell ref="F16:G16"/>
    <mergeCell ref="C11:C12"/>
    <mergeCell ref="C9:C10"/>
    <mergeCell ref="K2:L2"/>
    <mergeCell ref="M2:N2"/>
    <mergeCell ref="J2:J3"/>
    <mergeCell ref="I2:I3"/>
    <mergeCell ref="F7:G8"/>
    <mergeCell ref="M36:N36"/>
    <mergeCell ref="C14:C15"/>
    <mergeCell ref="F14:G15"/>
    <mergeCell ref="I28:K28"/>
    <mergeCell ref="M28:O28"/>
    <mergeCell ref="C27:E27"/>
    <mergeCell ref="C28:C29"/>
    <mergeCell ref="L44:N44"/>
    <mergeCell ref="I44:K44"/>
    <mergeCell ref="I47:K47"/>
    <mergeCell ref="L47:N47"/>
    <mergeCell ref="I41:K41"/>
    <mergeCell ref="L41:N41"/>
    <mergeCell ref="K43:L43"/>
    <mergeCell ref="S19:U19"/>
    <mergeCell ref="S32:U32"/>
    <mergeCell ref="S20:U20"/>
    <mergeCell ref="S39:U39"/>
    <mergeCell ref="S43:U43"/>
    <mergeCell ref="S54:U54"/>
    <mergeCell ref="S46:U46"/>
    <mergeCell ref="S49:U49"/>
    <mergeCell ref="K49:L49"/>
    <mergeCell ref="K46:L46"/>
    <mergeCell ref="S50:U50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96DC-9CCB-C843-8BCC-330DA2BE986A}">
  <sheetPr codeName="Sheet6"/>
  <dimension ref="B3:W40"/>
  <sheetViews>
    <sheetView topLeftCell="G10" zoomScale="140" zoomScaleNormal="85" workbookViewId="0">
      <selection activeCell="K24" sqref="K24"/>
    </sheetView>
  </sheetViews>
  <sheetFormatPr defaultColWidth="11.42578125" defaultRowHeight="15"/>
  <cols>
    <col min="3" max="3" width="11.42578125" style="44"/>
  </cols>
  <sheetData>
    <row r="3" spans="2:20" ht="15.75" thickBot="1">
      <c r="C3" s="320"/>
      <c r="S3" s="231"/>
      <c r="T3" s="231"/>
    </row>
    <row r="4" spans="2:20" ht="15.75" thickBot="1">
      <c r="B4" s="446" t="s">
        <v>79</v>
      </c>
      <c r="C4" s="447"/>
      <c r="D4" s="448"/>
      <c r="E4" s="452" t="s">
        <v>409</v>
      </c>
      <c r="F4" s="453"/>
      <c r="R4" s="441" t="s">
        <v>95</v>
      </c>
      <c r="S4" s="441"/>
    </row>
    <row r="5" spans="2:20">
      <c r="B5" s="449"/>
      <c r="C5" s="450"/>
      <c r="D5" s="451"/>
      <c r="E5" s="454"/>
      <c r="F5" s="455"/>
      <c r="I5" s="431" t="s">
        <v>75</v>
      </c>
      <c r="J5" s="432"/>
      <c r="K5" s="432"/>
      <c r="L5" s="432"/>
      <c r="M5" s="432"/>
      <c r="N5" s="432"/>
      <c r="O5" s="432"/>
      <c r="P5" s="433"/>
      <c r="R5" s="233" t="s">
        <v>0</v>
      </c>
      <c r="S5" s="233" t="s">
        <v>11</v>
      </c>
      <c r="T5" s="231"/>
    </row>
    <row r="6" spans="2:20">
      <c r="B6" s="372" t="s">
        <v>91</v>
      </c>
      <c r="C6" s="36">
        <f>'ACT 4'!D5</f>
        <v>1649.2521457653345</v>
      </c>
      <c r="D6" s="324" t="s">
        <v>92</v>
      </c>
      <c r="E6" s="413" t="s">
        <v>93</v>
      </c>
      <c r="F6" s="427"/>
      <c r="I6" s="206" t="s">
        <v>410</v>
      </c>
      <c r="J6" s="207" t="s">
        <v>411</v>
      </c>
      <c r="K6" s="207" t="s">
        <v>412</v>
      </c>
      <c r="L6" s="207" t="s">
        <v>413</v>
      </c>
      <c r="M6" s="207" t="s">
        <v>414</v>
      </c>
      <c r="N6" s="207" t="s">
        <v>415</v>
      </c>
      <c r="O6" s="207" t="s">
        <v>416</v>
      </c>
      <c r="P6" s="208" t="s">
        <v>417</v>
      </c>
      <c r="R6" s="172">
        <v>0.2</v>
      </c>
      <c r="S6" s="172">
        <v>0.2</v>
      </c>
      <c r="T6" s="43"/>
    </row>
    <row r="7" spans="2:20">
      <c r="B7" s="434"/>
      <c r="C7" s="36">
        <f>'[1]ACT 3'!$M$8</f>
        <v>748.08757930198965</v>
      </c>
      <c r="D7" s="324" t="s">
        <v>418</v>
      </c>
      <c r="E7" s="442"/>
      <c r="F7" s="443"/>
      <c r="I7" s="214" t="s">
        <v>419</v>
      </c>
      <c r="J7" s="215" t="s">
        <v>420</v>
      </c>
      <c r="K7" s="215" t="s">
        <v>421</v>
      </c>
      <c r="L7" s="215" t="s">
        <v>99</v>
      </c>
      <c r="M7" s="215" t="s">
        <v>0</v>
      </c>
      <c r="N7" s="215" t="s">
        <v>11</v>
      </c>
      <c r="O7" s="215" t="s">
        <v>422</v>
      </c>
      <c r="P7" s="216" t="s">
        <v>423</v>
      </c>
      <c r="R7" s="172">
        <v>0.22477822849014242</v>
      </c>
      <c r="S7" s="232">
        <f>((R7-R6)/(R8-R6))*(S8-S6)+(S6)</f>
        <v>0.22477822849014242</v>
      </c>
      <c r="T7" s="43"/>
    </row>
    <row r="8" spans="2:20">
      <c r="B8" s="373"/>
      <c r="C8" s="19">
        <f>C7*9.8066</f>
        <v>7336.1956551828916</v>
      </c>
      <c r="D8" s="323" t="s">
        <v>424</v>
      </c>
      <c r="E8" s="415"/>
      <c r="F8" s="428"/>
      <c r="I8" s="210" t="s">
        <v>297</v>
      </c>
      <c r="J8" s="211" t="s">
        <v>345</v>
      </c>
      <c r="K8" s="211" t="s">
        <v>345</v>
      </c>
      <c r="L8" s="211" t="s">
        <v>425</v>
      </c>
      <c r="M8" s="212" t="s">
        <v>297</v>
      </c>
      <c r="N8" s="212" t="s">
        <v>297</v>
      </c>
      <c r="O8" s="212" t="s">
        <v>297</v>
      </c>
      <c r="P8" s="213" t="s">
        <v>297</v>
      </c>
      <c r="R8" s="172">
        <v>0.4</v>
      </c>
      <c r="S8" s="172">
        <v>0.4</v>
      </c>
      <c r="T8" s="43"/>
    </row>
    <row r="9" spans="2:20">
      <c r="B9" s="437" t="s">
        <v>426</v>
      </c>
      <c r="C9" s="235">
        <f>'ACT 4'!D7</f>
        <v>138.10933598187177</v>
      </c>
      <c r="D9" s="325" t="s">
        <v>36</v>
      </c>
      <c r="E9" s="413" t="s">
        <v>144</v>
      </c>
      <c r="F9" s="427"/>
      <c r="I9" s="332">
        <v>1</v>
      </c>
      <c r="J9" s="4">
        <v>1.6755</v>
      </c>
      <c r="K9" s="36">
        <f>$C$13</f>
        <v>8.794460822809949</v>
      </c>
      <c r="L9" s="4">
        <f>J9*K9</f>
        <v>14.73511910861807</v>
      </c>
      <c r="M9" s="4">
        <f>(2*$C$8)/($C$21*($C$11)^2*L9)</f>
        <v>0.21324082016417867</v>
      </c>
      <c r="N9" s="172">
        <v>0.21324851900208644</v>
      </c>
      <c r="O9" s="172">
        <v>0.39601528949798426</v>
      </c>
      <c r="P9" s="8">
        <f>N9/O9</f>
        <v>0.53848557027284139</v>
      </c>
      <c r="S9" s="43"/>
      <c r="T9" s="43"/>
    </row>
    <row r="10" spans="2:20">
      <c r="B10" s="437"/>
      <c r="C10" s="236">
        <f>'ACT 4'!D8</f>
        <v>202.56081980453186</v>
      </c>
      <c r="D10" s="324" t="s">
        <v>37</v>
      </c>
      <c r="E10" s="442"/>
      <c r="F10" s="443"/>
      <c r="I10" s="332">
        <v>2</v>
      </c>
      <c r="J10" s="4">
        <v>1.5895999999999999</v>
      </c>
      <c r="K10" s="36">
        <f t="shared" ref="K10:K18" si="0">$C$13</f>
        <v>8.794460822809949</v>
      </c>
      <c r="L10" s="4">
        <f t="shared" ref="L10:L18" si="1">J10*K10</f>
        <v>13.979674923938694</v>
      </c>
      <c r="M10" s="4">
        <f t="shared" ref="M10:M18" si="2">(2*$C$8)/($C$21*($C$11)^2*L10)</f>
        <v>0.2247640879372681</v>
      </c>
      <c r="N10" s="172">
        <v>0.22477822849014242</v>
      </c>
      <c r="O10" s="172">
        <v>0.39601528949798426</v>
      </c>
      <c r="P10" s="8">
        <f t="shared" ref="P10:P18" si="3">N10/O10</f>
        <v>0.5675998741742686</v>
      </c>
      <c r="S10" s="43"/>
      <c r="T10" s="43"/>
    </row>
    <row r="11" spans="2:20" ht="15.75" thickBot="1">
      <c r="B11" s="437"/>
      <c r="C11" s="32">
        <f>C10*0.3048</f>
        <v>61.740537876421314</v>
      </c>
      <c r="D11" s="191" t="s">
        <v>427</v>
      </c>
      <c r="E11" s="444"/>
      <c r="F11" s="445"/>
      <c r="I11" s="332">
        <v>3</v>
      </c>
      <c r="J11" s="4">
        <v>1.5037</v>
      </c>
      <c r="K11" s="36">
        <f t="shared" si="0"/>
        <v>8.794460822809949</v>
      </c>
      <c r="L11" s="4">
        <f t="shared" si="1"/>
        <v>13.224230739259321</v>
      </c>
      <c r="M11" s="4">
        <f t="shared" si="2"/>
        <v>0.23760390648738536</v>
      </c>
      <c r="N11" s="172">
        <v>0.23761970882221425</v>
      </c>
      <c r="O11" s="172">
        <v>0.39601528949798426</v>
      </c>
      <c r="P11" s="8">
        <f t="shared" si="3"/>
        <v>0.60002660281989884</v>
      </c>
      <c r="R11" s="441" t="s">
        <v>95</v>
      </c>
      <c r="S11" s="441"/>
    </row>
    <row r="12" spans="2:20">
      <c r="B12" s="372" t="s">
        <v>421</v>
      </c>
      <c r="C12" s="36">
        <f>'[1]ACT 3'!$R$18</f>
        <v>28.85321792260482</v>
      </c>
      <c r="D12" s="324" t="s">
        <v>125</v>
      </c>
      <c r="E12" s="435" t="s">
        <v>93</v>
      </c>
      <c r="F12" s="436"/>
      <c r="I12" s="332">
        <v>4</v>
      </c>
      <c r="J12" s="4">
        <v>1.4177</v>
      </c>
      <c r="K12" s="36">
        <f t="shared" si="0"/>
        <v>8.794460822809949</v>
      </c>
      <c r="L12" s="4">
        <f t="shared" si="1"/>
        <v>12.467907108497664</v>
      </c>
      <c r="M12" s="4">
        <f t="shared" si="2"/>
        <v>0.25201734794743696</v>
      </c>
      <c r="N12" s="172">
        <v>0.25201734794743696</v>
      </c>
      <c r="O12" s="172">
        <v>0.39601528949798426</v>
      </c>
      <c r="P12" s="8">
        <f t="shared" si="3"/>
        <v>0.63638287366861812</v>
      </c>
      <c r="R12" s="233" t="s">
        <v>11</v>
      </c>
      <c r="S12" s="233" t="s">
        <v>428</v>
      </c>
    </row>
    <row r="13" spans="2:20" ht="15.75" thickBot="1">
      <c r="B13" s="373"/>
      <c r="C13" s="237">
        <f>'[1]ACT 3'!$S$18</f>
        <v>8.794460822809949</v>
      </c>
      <c r="D13" s="324" t="s">
        <v>345</v>
      </c>
      <c r="E13" s="415"/>
      <c r="F13" s="428"/>
      <c r="I13" s="332">
        <v>5</v>
      </c>
      <c r="J13" s="4">
        <v>1.3318000000000001</v>
      </c>
      <c r="K13" s="36">
        <f t="shared" si="0"/>
        <v>8.794460822809949</v>
      </c>
      <c r="L13" s="4">
        <f t="shared" si="1"/>
        <v>11.712462923818292</v>
      </c>
      <c r="M13" s="4">
        <f t="shared" si="2"/>
        <v>0.26827225873635779</v>
      </c>
      <c r="N13" s="172">
        <v>0.26827225873635779</v>
      </c>
      <c r="O13" s="172">
        <v>0.39601528949798426</v>
      </c>
      <c r="P13" s="8">
        <f t="shared" si="3"/>
        <v>0.67742904339990972</v>
      </c>
      <c r="R13" s="172">
        <v>0.2</v>
      </c>
      <c r="S13" s="173">
        <v>-3.7870000000000001E-2</v>
      </c>
    </row>
    <row r="14" spans="2:20">
      <c r="B14" s="372" t="s">
        <v>429</v>
      </c>
      <c r="C14" s="36">
        <f>'[1]ACT 3'!$R$20</f>
        <v>5.6378411051550872</v>
      </c>
      <c r="D14" s="324" t="s">
        <v>125</v>
      </c>
      <c r="E14" s="435" t="s">
        <v>93</v>
      </c>
      <c r="F14" s="436"/>
      <c r="I14" s="332">
        <v>6</v>
      </c>
      <c r="J14" s="4">
        <v>1.2458</v>
      </c>
      <c r="K14" s="36">
        <f t="shared" si="0"/>
        <v>8.794460822809949</v>
      </c>
      <c r="L14" s="4">
        <f t="shared" si="1"/>
        <v>10.956139293056635</v>
      </c>
      <c r="M14" s="4">
        <f t="shared" si="2"/>
        <v>0.28679161517505325</v>
      </c>
      <c r="N14" s="172">
        <v>0.28679161517505325</v>
      </c>
      <c r="O14" s="172">
        <v>0.39601528949798426</v>
      </c>
      <c r="P14" s="8">
        <f t="shared" si="3"/>
        <v>0.72419328945256045</v>
      </c>
      <c r="R14" s="4">
        <v>0.39601528949798426</v>
      </c>
      <c r="S14" s="242">
        <f>((R14-R13)/(R15-R13))*(S15-S13)+(S13)</f>
        <v>-3.8222827521096368E-2</v>
      </c>
      <c r="T14" s="231"/>
    </row>
    <row r="15" spans="2:20" ht="15.75" thickBot="1">
      <c r="B15" s="373"/>
      <c r="C15" s="4">
        <f>C14*0.3048</f>
        <v>1.7184139688512707</v>
      </c>
      <c r="D15" s="324" t="s">
        <v>345</v>
      </c>
      <c r="E15" s="415"/>
      <c r="F15" s="428"/>
      <c r="I15" s="332">
        <v>7</v>
      </c>
      <c r="J15" s="4">
        <v>1.1598999999999999</v>
      </c>
      <c r="K15" s="36">
        <f t="shared" si="0"/>
        <v>8.794460822809949</v>
      </c>
      <c r="L15" s="4">
        <f t="shared" si="1"/>
        <v>10.200695108377259</v>
      </c>
      <c r="M15" s="4">
        <f t="shared" si="2"/>
        <v>0.30803085971642502</v>
      </c>
      <c r="N15" s="172">
        <v>0.30803085971642502</v>
      </c>
      <c r="O15" s="172">
        <v>0.39601528949798426</v>
      </c>
      <c r="P15" s="8">
        <f t="shared" si="3"/>
        <v>0.77782567462712304</v>
      </c>
      <c r="R15" s="254">
        <v>0.4</v>
      </c>
      <c r="S15" s="173">
        <v>-3.823E-2</v>
      </c>
    </row>
    <row r="16" spans="2:20">
      <c r="B16" s="372" t="s">
        <v>124</v>
      </c>
      <c r="C16" s="36">
        <f>'[1]ACT 3'!$R$16</f>
        <v>4.3849875262317353</v>
      </c>
      <c r="D16" s="324" t="s">
        <v>125</v>
      </c>
      <c r="E16" s="435" t="s">
        <v>93</v>
      </c>
      <c r="F16" s="436"/>
      <c r="I16" s="332">
        <v>8</v>
      </c>
      <c r="J16" s="4">
        <v>1.0741000000000001</v>
      </c>
      <c r="K16" s="36">
        <f t="shared" si="0"/>
        <v>8.794460822809949</v>
      </c>
      <c r="L16" s="4">
        <f t="shared" si="1"/>
        <v>9.4461303697801675</v>
      </c>
      <c r="M16" s="4">
        <f t="shared" si="2"/>
        <v>0.3326366205987164</v>
      </c>
      <c r="N16" s="172">
        <v>0.33266759235109994</v>
      </c>
      <c r="O16" s="172">
        <v>0.39601528949798426</v>
      </c>
      <c r="P16" s="8">
        <f t="shared" si="3"/>
        <v>0.84003724394785828</v>
      </c>
    </row>
    <row r="17" spans="2:23" ht="15.75" thickBot="1">
      <c r="B17" s="373"/>
      <c r="C17" s="42">
        <f>C16*0.3048</f>
        <v>1.3365441979954329</v>
      </c>
      <c r="D17" s="324" t="s">
        <v>345</v>
      </c>
      <c r="E17" s="415"/>
      <c r="F17" s="428"/>
      <c r="I17" s="332">
        <v>9</v>
      </c>
      <c r="J17" s="4">
        <v>0.98799999999999999</v>
      </c>
      <c r="K17" s="36">
        <f t="shared" si="0"/>
        <v>8.794460822809949</v>
      </c>
      <c r="L17" s="4">
        <f t="shared" si="1"/>
        <v>8.6889272929362296</v>
      </c>
      <c r="M17" s="4">
        <f t="shared" si="2"/>
        <v>0.36162448804158032</v>
      </c>
      <c r="N17" s="172">
        <v>0.3615878900769976</v>
      </c>
      <c r="O17" s="172">
        <v>0.39601528949798426</v>
      </c>
      <c r="P17" s="8">
        <f t="shared" si="3"/>
        <v>0.91306547920250969</v>
      </c>
    </row>
    <row r="18" spans="2:23" ht="15.75" thickBot="1">
      <c r="B18" s="434" t="s">
        <v>430</v>
      </c>
      <c r="C18" s="19">
        <f>'[1]ACT 3'!$R$22</f>
        <v>2.8189205525775436</v>
      </c>
      <c r="D18" s="191" t="s">
        <v>125</v>
      </c>
      <c r="E18" s="435" t="s">
        <v>93</v>
      </c>
      <c r="F18" s="436"/>
      <c r="I18" s="209">
        <v>10</v>
      </c>
      <c r="J18" s="227">
        <v>0.9022</v>
      </c>
      <c r="K18" s="169">
        <f t="shared" si="0"/>
        <v>8.794460822809949</v>
      </c>
      <c r="L18" s="227">
        <f t="shared" si="1"/>
        <v>7.9343625543391356</v>
      </c>
      <c r="M18" s="227">
        <f t="shared" si="2"/>
        <v>0.39601528949798426</v>
      </c>
      <c r="N18" s="240">
        <v>0.39601528949798426</v>
      </c>
      <c r="O18" s="240">
        <v>0.39601528949798426</v>
      </c>
      <c r="P18" s="234">
        <f t="shared" si="3"/>
        <v>1</v>
      </c>
    </row>
    <row r="19" spans="2:23" ht="15.75" thickBot="1">
      <c r="B19" s="373"/>
      <c r="C19" s="228">
        <f>C18*0.3048</f>
        <v>0.85920698442563537</v>
      </c>
      <c r="D19" s="328" t="s">
        <v>345</v>
      </c>
      <c r="E19" s="415"/>
      <c r="F19" s="428"/>
    </row>
    <row r="20" spans="2:23">
      <c r="B20" s="188" t="s">
        <v>339</v>
      </c>
      <c r="C20" s="4">
        <f>'ACT 4'!D13</f>
        <v>0.24099999999999999</v>
      </c>
      <c r="D20" s="324"/>
      <c r="E20" s="439" t="s">
        <v>153</v>
      </c>
      <c r="F20" s="440"/>
      <c r="I20" s="431" t="s">
        <v>431</v>
      </c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3"/>
    </row>
    <row r="21" spans="2:23">
      <c r="B21" s="189" t="s">
        <v>432</v>
      </c>
      <c r="C21" s="230">
        <v>1.2250000000000001</v>
      </c>
      <c r="D21" s="219" t="s">
        <v>433</v>
      </c>
      <c r="E21" s="23"/>
      <c r="F21" s="86"/>
      <c r="I21" s="206">
        <v>1</v>
      </c>
      <c r="J21" s="207">
        <v>2</v>
      </c>
      <c r="K21" s="207">
        <v>3</v>
      </c>
      <c r="L21" s="207">
        <v>4</v>
      </c>
      <c r="M21" s="207">
        <v>5</v>
      </c>
      <c r="N21" s="207">
        <v>6</v>
      </c>
      <c r="O21" s="207">
        <v>7</v>
      </c>
      <c r="P21" s="207">
        <v>8</v>
      </c>
      <c r="Q21" s="207">
        <v>9</v>
      </c>
      <c r="R21" s="207">
        <v>10</v>
      </c>
      <c r="S21" s="207">
        <v>11</v>
      </c>
      <c r="T21" s="207">
        <v>12</v>
      </c>
      <c r="U21" s="207">
        <v>13</v>
      </c>
      <c r="V21" s="207">
        <v>14</v>
      </c>
      <c r="W21" s="208">
        <v>15</v>
      </c>
    </row>
    <row r="22" spans="2:23" ht="15.75" thickBot="1">
      <c r="B22" s="190"/>
      <c r="C22" s="169"/>
      <c r="D22" s="327"/>
      <c r="E22" s="5"/>
      <c r="F22" s="6"/>
      <c r="I22" s="214" t="s">
        <v>434</v>
      </c>
      <c r="J22" s="215" t="s">
        <v>435</v>
      </c>
      <c r="K22" s="215" t="s">
        <v>436</v>
      </c>
      <c r="L22" s="215" t="s">
        <v>420</v>
      </c>
      <c r="M22" s="215" t="s">
        <v>437</v>
      </c>
      <c r="N22" s="215" t="s">
        <v>423</v>
      </c>
      <c r="O22" s="215" t="s">
        <v>438</v>
      </c>
      <c r="P22" s="216" t="s">
        <v>439</v>
      </c>
      <c r="Q22" s="214" t="s">
        <v>440</v>
      </c>
      <c r="R22" s="215" t="s">
        <v>441</v>
      </c>
      <c r="S22" s="215" t="s">
        <v>442</v>
      </c>
      <c r="T22" s="215" t="s">
        <v>443</v>
      </c>
      <c r="U22" s="215" t="s">
        <v>444</v>
      </c>
      <c r="V22" s="215" t="s">
        <v>445</v>
      </c>
      <c r="W22" s="215" t="s">
        <v>446</v>
      </c>
    </row>
    <row r="23" spans="2:23">
      <c r="C23" s="320"/>
      <c r="I23" s="210" t="s">
        <v>297</v>
      </c>
      <c r="J23" s="211" t="s">
        <v>345</v>
      </c>
      <c r="K23" s="211" t="s">
        <v>345</v>
      </c>
      <c r="L23" s="211" t="s">
        <v>345</v>
      </c>
      <c r="M23" s="212" t="s">
        <v>425</v>
      </c>
      <c r="N23" s="212" t="s">
        <v>297</v>
      </c>
      <c r="O23" s="212" t="s">
        <v>425</v>
      </c>
      <c r="P23" s="213" t="s">
        <v>447</v>
      </c>
      <c r="Q23" s="210" t="s">
        <v>345</v>
      </c>
      <c r="R23" s="211" t="s">
        <v>447</v>
      </c>
      <c r="S23" s="211" t="s">
        <v>345</v>
      </c>
      <c r="T23" s="211" t="s">
        <v>447</v>
      </c>
      <c r="U23" s="212" t="s">
        <v>447</v>
      </c>
      <c r="V23" s="212" t="s">
        <v>297</v>
      </c>
      <c r="W23" s="212" t="s">
        <v>447</v>
      </c>
    </row>
    <row r="24" spans="2:23">
      <c r="B24" s="438" t="s">
        <v>124</v>
      </c>
      <c r="C24" s="438"/>
      <c r="D24" s="438"/>
      <c r="I24" s="332">
        <v>1</v>
      </c>
      <c r="J24" s="30">
        <v>0.22</v>
      </c>
      <c r="K24" s="23">
        <v>0.43969999999999998</v>
      </c>
      <c r="L24" s="23">
        <v>1.6755</v>
      </c>
      <c r="M24" s="30">
        <f>L24*K24</f>
        <v>0.73671734999999994</v>
      </c>
      <c r="N24" s="30">
        <f>P9</f>
        <v>0.53848557027284139</v>
      </c>
      <c r="O24" s="30">
        <f>N24*M24</f>
        <v>0.39671166234464644</v>
      </c>
      <c r="P24" s="30">
        <f>J24*O24</f>
        <v>8.7276565715822221E-2</v>
      </c>
      <c r="Q24" s="23">
        <v>0.4037</v>
      </c>
      <c r="R24" s="30">
        <f>Q24*O24</f>
        <v>0.16015249808853377</v>
      </c>
      <c r="S24" s="30">
        <v>1.52E-2</v>
      </c>
      <c r="T24" s="30">
        <f>S24*O24</f>
        <v>6.030017267638626E-3</v>
      </c>
      <c r="U24" s="30">
        <f>L24*M24</f>
        <v>1.2343699199249998</v>
      </c>
      <c r="V24" s="56">
        <v>-3.7893847334203756E-2</v>
      </c>
      <c r="W24" s="130">
        <f>V24*U24</f>
        <v>-4.6775025299571255E-2</v>
      </c>
    </row>
    <row r="25" spans="2:23">
      <c r="B25" s="23" t="s">
        <v>448</v>
      </c>
      <c r="C25" s="229">
        <f>C15*C20</f>
        <v>0.41413776649315626</v>
      </c>
      <c r="D25" s="23" t="s">
        <v>345</v>
      </c>
      <c r="I25" s="332">
        <v>2</v>
      </c>
      <c r="J25" s="23">
        <v>0.65939999999999999</v>
      </c>
      <c r="K25" s="23">
        <v>0.87949999999999995</v>
      </c>
      <c r="L25" s="23">
        <v>1.5895999999999999</v>
      </c>
      <c r="M25" s="30">
        <f t="shared" ref="M25:M33" si="4">L25*K25</f>
        <v>1.3980531999999999</v>
      </c>
      <c r="N25" s="30">
        <f t="shared" ref="N25:N33" si="5">P10</f>
        <v>0.5675998741742686</v>
      </c>
      <c r="O25" s="30">
        <f t="shared" ref="O25:O33" si="6">N25*M25</f>
        <v>0.79353482040893353</v>
      </c>
      <c r="P25" s="30">
        <f t="shared" ref="P25:P33" si="7">J25*O25</f>
        <v>0.52325686057765075</v>
      </c>
      <c r="Q25" s="23">
        <v>0.3831</v>
      </c>
      <c r="R25" s="30">
        <f t="shared" ref="R25:R33" si="8">Q25*O25</f>
        <v>0.30400318969866241</v>
      </c>
      <c r="S25" s="30">
        <v>4.5600000000000002E-2</v>
      </c>
      <c r="T25" s="30">
        <f t="shared" ref="T25:T33" si="9">S25*O25</f>
        <v>3.6185187810647369E-2</v>
      </c>
      <c r="U25" s="30">
        <f t="shared" ref="U25:U33" si="10">L25*M25</f>
        <v>2.2223453667199995</v>
      </c>
      <c r="V25" s="56">
        <v>-3.7914600811282256E-2</v>
      </c>
      <c r="W25" s="130">
        <f t="shared" ref="W25:W33" si="11">V25*U25</f>
        <v>-8.4259337443991458E-2</v>
      </c>
    </row>
    <row r="26" spans="2:23">
      <c r="B26" s="23" t="s">
        <v>449</v>
      </c>
      <c r="C26" s="229">
        <f>C19*C20</f>
        <v>0.20706888324657813</v>
      </c>
      <c r="D26" s="23" t="s">
        <v>345</v>
      </c>
      <c r="I26" s="332">
        <v>3</v>
      </c>
      <c r="J26" s="23">
        <v>1.0989</v>
      </c>
      <c r="K26" s="23">
        <v>1.3191999999999999</v>
      </c>
      <c r="L26" s="23">
        <v>1.5037</v>
      </c>
      <c r="M26" s="30">
        <f t="shared" si="4"/>
        <v>1.98368104</v>
      </c>
      <c r="N26" s="30">
        <f t="shared" si="5"/>
        <v>0.60002660281989884</v>
      </c>
      <c r="O26" s="30">
        <f t="shared" si="6"/>
        <v>1.1902613955094439</v>
      </c>
      <c r="P26" s="30">
        <f t="shared" si="7"/>
        <v>1.3079782475253279</v>
      </c>
      <c r="Q26" s="23">
        <v>0.3624</v>
      </c>
      <c r="R26" s="30">
        <f t="shared" si="8"/>
        <v>0.43135072973262245</v>
      </c>
      <c r="S26" s="30">
        <v>7.5999999999999998E-2</v>
      </c>
      <c r="T26" s="30">
        <f t="shared" si="9"/>
        <v>9.0459866058717739E-2</v>
      </c>
      <c r="U26" s="30">
        <f t="shared" si="10"/>
        <v>2.9828611798480003</v>
      </c>
      <c r="V26" s="56">
        <v>-3.7937715475879985E-2</v>
      </c>
      <c r="W26" s="130">
        <f t="shared" si="11"/>
        <v>-0.11316293874512111</v>
      </c>
    </row>
    <row r="27" spans="2:23">
      <c r="C27" s="320"/>
      <c r="I27" s="332">
        <v>4</v>
      </c>
      <c r="J27" s="23">
        <v>1.5390999999999999</v>
      </c>
      <c r="K27" s="23">
        <v>1.7588999999999999</v>
      </c>
      <c r="L27" s="23">
        <v>1.4177</v>
      </c>
      <c r="M27" s="30">
        <f t="shared" si="4"/>
        <v>2.4935925299999999</v>
      </c>
      <c r="N27" s="30">
        <f t="shared" si="5"/>
        <v>0.63638287366861812</v>
      </c>
      <c r="O27" s="30">
        <f t="shared" si="6"/>
        <v>1.5868795799999997</v>
      </c>
      <c r="P27" s="30">
        <f t="shared" si="7"/>
        <v>2.4423663615779994</v>
      </c>
      <c r="Q27" s="23">
        <v>0.34160000000000001</v>
      </c>
      <c r="R27" s="30">
        <f t="shared" si="8"/>
        <v>0.54207806452799989</v>
      </c>
      <c r="S27" s="30">
        <v>0.10639999999999999</v>
      </c>
      <c r="T27" s="30">
        <f t="shared" si="9"/>
        <v>0.16884398731199995</v>
      </c>
      <c r="U27" s="30">
        <f t="shared" si="10"/>
        <v>3.535166129781</v>
      </c>
      <c r="V27" s="56">
        <v>-3.7963631226305389E-2</v>
      </c>
      <c r="W27" s="130">
        <f t="shared" si="11"/>
        <v>-0.13420774327473114</v>
      </c>
    </row>
    <row r="28" spans="2:23">
      <c r="C28" s="320"/>
      <c r="I28" s="332">
        <v>5</v>
      </c>
      <c r="J28" s="23">
        <v>1.9787999999999999</v>
      </c>
      <c r="K28" s="23">
        <v>2.1987000000000001</v>
      </c>
      <c r="L28" s="23">
        <v>1.3318000000000001</v>
      </c>
      <c r="M28" s="30">
        <f t="shared" si="4"/>
        <v>2.9282286600000003</v>
      </c>
      <c r="N28" s="30">
        <f t="shared" si="5"/>
        <v>0.67742904339990972</v>
      </c>
      <c r="O28" s="30">
        <f t="shared" si="6"/>
        <v>1.9836671399999997</v>
      </c>
      <c r="P28" s="30">
        <f t="shared" si="7"/>
        <v>3.9252805366319992</v>
      </c>
      <c r="Q28" s="23">
        <v>0.32090000000000002</v>
      </c>
      <c r="R28" s="30">
        <f t="shared" si="8"/>
        <v>0.63655878522599996</v>
      </c>
      <c r="S28" s="30">
        <v>0.1368</v>
      </c>
      <c r="T28" s="30">
        <f t="shared" si="9"/>
        <v>0.27136566475199997</v>
      </c>
      <c r="U28" s="30">
        <f t="shared" si="10"/>
        <v>3.8998149293880005</v>
      </c>
      <c r="V28" s="56">
        <v>-3.7992890065725447E-2</v>
      </c>
      <c r="W28" s="130">
        <f t="shared" si="11"/>
        <v>-0.14816523988891314</v>
      </c>
    </row>
    <row r="29" spans="2:23">
      <c r="C29" s="320"/>
      <c r="I29" s="332">
        <v>6</v>
      </c>
      <c r="J29" s="23">
        <v>2.4184999999999999</v>
      </c>
      <c r="K29" s="23">
        <v>2.6383999999999999</v>
      </c>
      <c r="L29" s="23">
        <v>1.2458</v>
      </c>
      <c r="M29" s="30">
        <f t="shared" si="4"/>
        <v>3.2869187200000001</v>
      </c>
      <c r="N29" s="30">
        <f t="shared" si="5"/>
        <v>0.72419328945256045</v>
      </c>
      <c r="O29" s="30">
        <f t="shared" si="6"/>
        <v>2.3803644799999994</v>
      </c>
      <c r="P29" s="30">
        <f t="shared" si="7"/>
        <v>5.756911494879998</v>
      </c>
      <c r="Q29" s="23">
        <v>0.30020000000000002</v>
      </c>
      <c r="R29" s="30">
        <f t="shared" si="8"/>
        <v>0.71458541689599986</v>
      </c>
      <c r="S29" s="30">
        <v>0.16719999999999999</v>
      </c>
      <c r="T29" s="30">
        <f t="shared" si="9"/>
        <v>0.39799694105599986</v>
      </c>
      <c r="U29" s="30">
        <f t="shared" si="10"/>
        <v>4.0948433413760004</v>
      </c>
      <c r="V29" s="56">
        <v>-3.8026224907315095E-2</v>
      </c>
      <c r="W29" s="130">
        <f t="shared" si="11"/>
        <v>-0.15571143385938543</v>
      </c>
    </row>
    <row r="30" spans="2:23">
      <c r="C30" s="320"/>
      <c r="I30" s="332">
        <v>7</v>
      </c>
      <c r="J30" s="23">
        <v>2.8582000000000001</v>
      </c>
      <c r="K30" s="23">
        <v>3.0781000000000001</v>
      </c>
      <c r="L30" s="23">
        <v>1.1598999999999999</v>
      </c>
      <c r="M30" s="30">
        <f t="shared" si="4"/>
        <v>3.5702881899999999</v>
      </c>
      <c r="N30" s="30">
        <f t="shared" si="5"/>
        <v>0.77782567462712304</v>
      </c>
      <c r="O30" s="30">
        <f t="shared" si="6"/>
        <v>2.7770618200000001</v>
      </c>
      <c r="P30" s="30">
        <f t="shared" si="7"/>
        <v>7.937398093924001</v>
      </c>
      <c r="Q30" s="23">
        <v>0.27950000000000003</v>
      </c>
      <c r="R30" s="30">
        <f t="shared" si="8"/>
        <v>0.77618877869000014</v>
      </c>
      <c r="S30" s="30">
        <v>0.19769999999999999</v>
      </c>
      <c r="T30" s="30">
        <f t="shared" si="9"/>
        <v>0.54902512181399998</v>
      </c>
      <c r="U30" s="30">
        <f t="shared" si="10"/>
        <v>4.1411772715809994</v>
      </c>
      <c r="V30" s="56">
        <v>-3.8064455547489565E-2</v>
      </c>
      <c r="W30" s="130">
        <f t="shared" si="11"/>
        <v>-0.15763165816836908</v>
      </c>
    </row>
    <row r="31" spans="2:23">
      <c r="C31" s="320"/>
      <c r="I31" s="332">
        <v>8</v>
      </c>
      <c r="J31" s="23">
        <v>3.2976000000000001</v>
      </c>
      <c r="K31" s="23">
        <v>3.5177999999999998</v>
      </c>
      <c r="L31" s="23">
        <v>1.0741000000000001</v>
      </c>
      <c r="M31" s="30">
        <f t="shared" si="4"/>
        <v>3.77846898</v>
      </c>
      <c r="N31" s="30">
        <f t="shared" si="5"/>
        <v>0.84003724394785828</v>
      </c>
      <c r="O31" s="30">
        <f t="shared" si="6"/>
        <v>3.1740546683016753</v>
      </c>
      <c r="P31" s="30">
        <f t="shared" si="7"/>
        <v>10.466762674191605</v>
      </c>
      <c r="Q31" s="23">
        <v>0.25890000000000002</v>
      </c>
      <c r="R31" s="30">
        <f t="shared" si="8"/>
        <v>0.82176275362330375</v>
      </c>
      <c r="S31" s="30">
        <v>0.22800000000000001</v>
      </c>
      <c r="T31" s="30">
        <f t="shared" si="9"/>
        <v>0.723684464372782</v>
      </c>
      <c r="U31" s="30">
        <f t="shared" si="10"/>
        <v>4.0584535314180004</v>
      </c>
      <c r="V31" s="56">
        <v>-3.8108801666231977E-2</v>
      </c>
      <c r="W31" s="130">
        <f t="shared" si="11"/>
        <v>-0.15466280070042734</v>
      </c>
    </row>
    <row r="32" spans="2:23">
      <c r="C32" s="320"/>
      <c r="I32" s="332">
        <v>9</v>
      </c>
      <c r="J32" s="23">
        <v>3.7381000000000002</v>
      </c>
      <c r="K32" s="23">
        <v>3.9575999999999998</v>
      </c>
      <c r="L32" s="30">
        <v>0.98799999999999999</v>
      </c>
      <c r="M32" s="30">
        <f t="shared" si="4"/>
        <v>3.9101087999999997</v>
      </c>
      <c r="N32" s="30">
        <f t="shared" si="5"/>
        <v>0.91306547920250969</v>
      </c>
      <c r="O32" s="30">
        <f t="shared" si="6"/>
        <v>3.5701853652059499</v>
      </c>
      <c r="P32" s="30">
        <f t="shared" si="7"/>
        <v>13.345709913676362</v>
      </c>
      <c r="Q32" s="23">
        <v>0.23810000000000001</v>
      </c>
      <c r="R32" s="30">
        <f t="shared" si="8"/>
        <v>0.85006113545553663</v>
      </c>
      <c r="S32" s="30">
        <v>0.25850000000000001</v>
      </c>
      <c r="T32" s="30">
        <f t="shared" si="9"/>
        <v>0.92289291690573805</v>
      </c>
      <c r="U32" s="30">
        <f t="shared" si="10"/>
        <v>3.8631874943999995</v>
      </c>
      <c r="V32" s="56">
        <v>-3.8160858202138596E-2</v>
      </c>
      <c r="W32" s="130">
        <f t="shared" si="11"/>
        <v>-0.14742255018207348</v>
      </c>
    </row>
    <row r="33" spans="9:23" ht="15.75" thickBot="1">
      <c r="I33" s="209">
        <v>10</v>
      </c>
      <c r="J33" s="5">
        <v>4.1773999999999996</v>
      </c>
      <c r="K33" s="5">
        <v>4.3973000000000004</v>
      </c>
      <c r="L33" s="5">
        <v>0.9022</v>
      </c>
      <c r="M33" s="238">
        <f t="shared" si="4"/>
        <v>3.9672440600000005</v>
      </c>
      <c r="N33" s="30">
        <f t="shared" si="5"/>
        <v>1</v>
      </c>
      <c r="O33" s="238">
        <f t="shared" si="6"/>
        <v>3.9672440600000005</v>
      </c>
      <c r="P33" s="238">
        <f t="shared" si="7"/>
        <v>16.572765336244</v>
      </c>
      <c r="Q33" s="5">
        <v>0.21740000000000001</v>
      </c>
      <c r="R33" s="238">
        <f t="shared" si="8"/>
        <v>0.8624788586440002</v>
      </c>
      <c r="S33" s="120">
        <v>0.28889999999999999</v>
      </c>
      <c r="T33" s="238">
        <f t="shared" si="9"/>
        <v>1.1461368089340001</v>
      </c>
      <c r="U33" s="238">
        <f t="shared" si="10"/>
        <v>3.5792475909320003</v>
      </c>
      <c r="V33" s="243">
        <v>-3.8222827521096368E-2</v>
      </c>
      <c r="W33" s="244">
        <f t="shared" si="11"/>
        <v>-0.13680896332349354</v>
      </c>
    </row>
    <row r="34" spans="9:23" ht="15.75" thickBot="1">
      <c r="I34" s="239" t="s">
        <v>450</v>
      </c>
      <c r="J34" s="52"/>
      <c r="K34" s="52"/>
      <c r="L34" s="52"/>
      <c r="M34" s="241">
        <f>SUM(M24:M33)</f>
        <v>28.053301529999999</v>
      </c>
      <c r="N34" s="52"/>
      <c r="O34" s="241">
        <f>SUM(O24:O33)</f>
        <v>21.819964991770647</v>
      </c>
      <c r="P34" s="241">
        <f>SUM(P24:P33)</f>
        <v>62.365706084944776</v>
      </c>
      <c r="Q34" s="52"/>
      <c r="R34" s="241">
        <f>SUM(R24:R33)</f>
        <v>6.0992202105826596</v>
      </c>
      <c r="S34" s="52"/>
      <c r="T34" s="241">
        <f>SUM(T24:T33)</f>
        <v>4.3126209762835241</v>
      </c>
      <c r="U34" s="241">
        <f>SUM(U24:U33)</f>
        <v>33.611466755369001</v>
      </c>
      <c r="V34" s="52"/>
      <c r="W34" s="241">
        <f>SUM(W24:W33)</f>
        <v>-1.278807690886077</v>
      </c>
    </row>
    <row r="36" spans="9:23" ht="15.75" thickBot="1"/>
    <row r="37" spans="9:23" ht="15.75" thickBot="1">
      <c r="L37" s="249" t="s">
        <v>451</v>
      </c>
      <c r="M37" s="245">
        <f>P34/O34</f>
        <v>2.8581945987752899</v>
      </c>
      <c r="N37" s="246" t="s">
        <v>345</v>
      </c>
      <c r="P37" s="252" t="s">
        <v>445</v>
      </c>
      <c r="Q37" s="253">
        <f>W34/U34</f>
        <v>-3.804676838989194E-2</v>
      </c>
    </row>
    <row r="38" spans="9:23">
      <c r="L38" s="250" t="s">
        <v>452</v>
      </c>
      <c r="M38" s="4">
        <f>R34/O34</f>
        <v>0.27952474776577174</v>
      </c>
      <c r="N38" s="247" t="s">
        <v>345</v>
      </c>
    </row>
    <row r="39" spans="9:23" ht="15.75" thickBot="1">
      <c r="L39" s="251" t="s">
        <v>453</v>
      </c>
      <c r="M39" s="227">
        <f>T34/O34</f>
        <v>0.19764564140730839</v>
      </c>
      <c r="N39" s="248" t="s">
        <v>345</v>
      </c>
    </row>
    <row r="40" spans="9:23">
      <c r="I40" s="231"/>
      <c r="J40" s="231"/>
      <c r="K40" s="231"/>
    </row>
  </sheetData>
  <mergeCells count="20">
    <mergeCell ref="R4:S4"/>
    <mergeCell ref="E6:F8"/>
    <mergeCell ref="E9:F11"/>
    <mergeCell ref="B4:D5"/>
    <mergeCell ref="E4:F5"/>
    <mergeCell ref="B6:B8"/>
    <mergeCell ref="I5:P5"/>
    <mergeCell ref="R11:S11"/>
    <mergeCell ref="B14:B15"/>
    <mergeCell ref="B9:B11"/>
    <mergeCell ref="E14:F15"/>
    <mergeCell ref="B24:D24"/>
    <mergeCell ref="E20:F20"/>
    <mergeCell ref="B12:B13"/>
    <mergeCell ref="E12:F13"/>
    <mergeCell ref="I20:W20"/>
    <mergeCell ref="B18:B19"/>
    <mergeCell ref="B16:B17"/>
    <mergeCell ref="E16:F17"/>
    <mergeCell ref="E18:F19"/>
  </mergeCells>
  <pageMargins left="0.7" right="0.7" top="0.75" bottom="0.75" header="0.3" footer="0.3"/>
  <pageSetup orientation="portrait" r:id="rId1"/>
  <ignoredErrors>
    <ignoredError sqref="C16 C18 N24:N3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0BF2-32BB-4F6F-9017-BAEFC5AEDC87}">
  <sheetPr codeName="Sheet7"/>
  <dimension ref="C1:AA39"/>
  <sheetViews>
    <sheetView topLeftCell="A10" zoomScaleNormal="100" workbookViewId="0">
      <selection activeCell="I6" sqref="I6"/>
    </sheetView>
  </sheetViews>
  <sheetFormatPr defaultColWidth="8.85546875" defaultRowHeight="15"/>
  <cols>
    <col min="4" max="4" width="9.42578125" bestFit="1" customWidth="1"/>
    <col min="6" max="6" width="10.7109375" bestFit="1" customWidth="1"/>
    <col min="11" max="11" width="14.7109375" bestFit="1" customWidth="1"/>
    <col min="15" max="15" width="13" bestFit="1" customWidth="1"/>
    <col min="21" max="21" width="10.7109375" bestFit="1" customWidth="1"/>
  </cols>
  <sheetData>
    <row r="1" spans="3:23" ht="15.75" thickBot="1"/>
    <row r="2" spans="3:23">
      <c r="C2" s="446" t="s">
        <v>79</v>
      </c>
      <c r="D2" s="447"/>
      <c r="E2" s="448"/>
      <c r="F2" s="452" t="s">
        <v>409</v>
      </c>
      <c r="G2" s="453"/>
    </row>
    <row r="3" spans="3:23" ht="15.75" thickBot="1">
      <c r="C3" s="456"/>
      <c r="D3" s="457"/>
      <c r="E3" s="458"/>
      <c r="F3" s="459"/>
      <c r="G3" s="460"/>
    </row>
    <row r="4" spans="3:23">
      <c r="C4" s="477" t="s">
        <v>91</v>
      </c>
      <c r="D4" s="226">
        <f>'ACT 5'!C6</f>
        <v>1649.2521457653345</v>
      </c>
      <c r="E4" s="336" t="s">
        <v>92</v>
      </c>
      <c r="F4" s="475" t="s">
        <v>93</v>
      </c>
      <c r="G4" s="476"/>
      <c r="J4" s="461" t="s">
        <v>454</v>
      </c>
      <c r="K4" s="462"/>
      <c r="L4" s="463"/>
      <c r="N4" s="186" t="s">
        <v>455</v>
      </c>
      <c r="O4" s="23">
        <v>1.6000000000000001E-3</v>
      </c>
      <c r="P4" s="23" t="s">
        <v>345</v>
      </c>
    </row>
    <row r="5" spans="3:23" ht="15.75" thickBot="1">
      <c r="C5" s="465"/>
      <c r="D5" s="218">
        <f>'[1]ACT 3'!$M$8</f>
        <v>748.08757930198965</v>
      </c>
      <c r="E5" s="337" t="s">
        <v>418</v>
      </c>
      <c r="F5" s="466"/>
      <c r="G5" s="467"/>
      <c r="J5" s="58" t="s">
        <v>456</v>
      </c>
      <c r="K5" s="54">
        <f>1.5*D21</f>
        <v>7.4033234074397605</v>
      </c>
      <c r="L5" s="86"/>
    </row>
    <row r="6" spans="3:23">
      <c r="C6" s="465"/>
      <c r="D6" s="218">
        <f>9.81*D5</f>
        <v>7338.7391529525185</v>
      </c>
      <c r="E6" s="323" t="s">
        <v>424</v>
      </c>
      <c r="F6" s="466"/>
      <c r="G6" s="467"/>
      <c r="J6" s="58" t="s">
        <v>457</v>
      </c>
      <c r="K6" s="23">
        <f>0.5*D20*(D18)^2</f>
        <v>2334.7744729544611</v>
      </c>
      <c r="L6" s="86" t="s">
        <v>458</v>
      </c>
      <c r="O6" s="492" t="s">
        <v>95</v>
      </c>
      <c r="P6" s="506"/>
      <c r="R6" s="492" t="s">
        <v>95</v>
      </c>
      <c r="S6" s="506"/>
      <c r="U6" s="492" t="s">
        <v>89</v>
      </c>
      <c r="V6" s="493"/>
      <c r="W6" s="493"/>
    </row>
    <row r="7" spans="3:23">
      <c r="C7" s="465" t="s">
        <v>99</v>
      </c>
      <c r="D7" s="218">
        <f>'ACT 4'!D6</f>
        <v>126.52100068226807</v>
      </c>
      <c r="E7" s="337" t="s">
        <v>100</v>
      </c>
      <c r="F7" s="466" t="s">
        <v>144</v>
      </c>
      <c r="G7" s="467"/>
      <c r="J7" s="58" t="s">
        <v>11</v>
      </c>
      <c r="K7" s="55">
        <f>(K5*D6)/(K6*D8)</f>
        <v>1.979752409259445</v>
      </c>
      <c r="L7" s="86"/>
      <c r="O7" s="277" t="s">
        <v>11</v>
      </c>
      <c r="P7" s="278" t="s">
        <v>15</v>
      </c>
      <c r="R7" s="277" t="s">
        <v>459</v>
      </c>
      <c r="S7" s="278" t="s">
        <v>460</v>
      </c>
      <c r="U7" s="133"/>
      <c r="V7" s="23" t="s">
        <v>11</v>
      </c>
      <c r="W7" s="86" t="s">
        <v>182</v>
      </c>
    </row>
    <row r="8" spans="3:23" ht="15.75" thickBot="1">
      <c r="C8" s="465"/>
      <c r="D8" s="218">
        <f>'[1]ACT 3'!$S$14</f>
        <v>11.754180526384751</v>
      </c>
      <c r="E8" s="337" t="s">
        <v>131</v>
      </c>
      <c r="F8" s="466"/>
      <c r="G8" s="467"/>
      <c r="J8" s="91" t="s">
        <v>461</v>
      </c>
      <c r="K8" s="93">
        <f>K7*K6*D8</f>
        <v>54331.059352148019</v>
      </c>
      <c r="L8" s="6" t="s">
        <v>424</v>
      </c>
      <c r="O8" s="274"/>
      <c r="P8" s="140"/>
      <c r="R8" s="274">
        <v>70</v>
      </c>
      <c r="S8" s="155">
        <v>3.05</v>
      </c>
      <c r="U8" s="133" t="s">
        <v>106</v>
      </c>
      <c r="V8" s="19">
        <v>1.979752409259445</v>
      </c>
      <c r="W8" s="305">
        <f>FORECAST(V8,W9:W10,V9:V10)</f>
        <v>26.725620578222269</v>
      </c>
    </row>
    <row r="9" spans="3:23" ht="15.75" thickBot="1">
      <c r="C9" s="465" t="s">
        <v>421</v>
      </c>
      <c r="D9" s="218">
        <f>'ACT 5'!C12</f>
        <v>28.85321792260482</v>
      </c>
      <c r="E9" s="337" t="s">
        <v>125</v>
      </c>
      <c r="F9" s="466" t="s">
        <v>93</v>
      </c>
      <c r="G9" s="467"/>
      <c r="O9" s="272">
        <f>K7</f>
        <v>1.979752409259445</v>
      </c>
      <c r="P9" s="279" t="e">
        <f>((O9-O8)/(O10-O8))*(P10-P8)+(P8)</f>
        <v>#DIV/0!</v>
      </c>
      <c r="R9" s="272">
        <v>75</v>
      </c>
      <c r="S9" s="273">
        <f>((R9-R8)/(R10-R8))*(S10-S8)+(S8)</f>
        <v>2.5999999999999996</v>
      </c>
      <c r="U9" s="133" t="s">
        <v>115</v>
      </c>
      <c r="V9" s="149">
        <v>1.498</v>
      </c>
      <c r="W9" s="140">
        <v>26.61</v>
      </c>
    </row>
    <row r="10" spans="3:23" ht="15.75" thickBot="1">
      <c r="C10" s="465"/>
      <c r="D10" s="220">
        <f>'[1]ACT 3'!$S$18</f>
        <v>8.794460822809949</v>
      </c>
      <c r="E10" s="337" t="s">
        <v>462</v>
      </c>
      <c r="F10" s="466"/>
      <c r="G10" s="467"/>
      <c r="J10" s="281" t="s">
        <v>15</v>
      </c>
      <c r="K10" s="282">
        <f>W8</f>
        <v>26.725620578222269</v>
      </c>
      <c r="L10" s="85" t="s">
        <v>114</v>
      </c>
      <c r="O10" s="275"/>
      <c r="P10" s="276"/>
      <c r="R10" s="275">
        <v>80</v>
      </c>
      <c r="S10" s="286">
        <v>2.15</v>
      </c>
      <c r="U10" s="304" t="s">
        <v>122</v>
      </c>
      <c r="V10" s="306">
        <v>1.373</v>
      </c>
      <c r="W10" s="276">
        <v>26.58</v>
      </c>
    </row>
    <row r="11" spans="3:23" ht="15.75" thickBot="1">
      <c r="C11" s="465" t="s">
        <v>429</v>
      </c>
      <c r="D11" s="218">
        <f>'[1]ACT 3'!$R$20</f>
        <v>5.6378411051550872</v>
      </c>
      <c r="E11" s="337" t="s">
        <v>125</v>
      </c>
      <c r="F11" s="466" t="s">
        <v>93</v>
      </c>
      <c r="G11" s="467"/>
      <c r="J11" s="91" t="s">
        <v>463</v>
      </c>
      <c r="K11" t="s">
        <v>464</v>
      </c>
      <c r="L11" s="6" t="s">
        <v>345</v>
      </c>
    </row>
    <row r="12" spans="3:23" ht="15.75" thickBot="1">
      <c r="C12" s="465"/>
      <c r="D12" s="218">
        <f>D11*0.3048</f>
        <v>1.7184139688512707</v>
      </c>
      <c r="E12" s="337" t="s">
        <v>345</v>
      </c>
      <c r="F12" s="466"/>
      <c r="G12" s="467"/>
    </row>
    <row r="13" spans="3:23">
      <c r="C13" s="465" t="s">
        <v>430</v>
      </c>
      <c r="D13" s="218">
        <f>'ACT 5'!C18</f>
        <v>2.8189205525775436</v>
      </c>
      <c r="E13" s="337" t="s">
        <v>125</v>
      </c>
      <c r="F13" s="466" t="s">
        <v>93</v>
      </c>
      <c r="G13" s="467"/>
      <c r="J13" s="281" t="s">
        <v>465</v>
      </c>
      <c r="K13" s="283">
        <f>(P13/100)*(D24)</f>
        <v>0.26730883959908658</v>
      </c>
      <c r="L13" s="85" t="s">
        <v>345</v>
      </c>
      <c r="O13" s="186" t="s">
        <v>466</v>
      </c>
      <c r="P13" s="323">
        <v>20</v>
      </c>
      <c r="Q13" s="323" t="s">
        <v>114</v>
      </c>
    </row>
    <row r="14" spans="3:23" ht="15.75" thickBot="1">
      <c r="C14" s="465"/>
      <c r="D14" s="218">
        <f>'ACT 5'!C19</f>
        <v>0.85920698442563537</v>
      </c>
      <c r="E14" s="337" t="s">
        <v>345</v>
      </c>
      <c r="F14" s="466"/>
      <c r="G14" s="467"/>
      <c r="J14" s="91" t="s">
        <v>467</v>
      </c>
      <c r="K14" s="120">
        <f>(P14/100)*(D24)</f>
        <v>1.0024081484965746</v>
      </c>
      <c r="L14" s="6" t="s">
        <v>345</v>
      </c>
      <c r="O14" s="186" t="s">
        <v>468</v>
      </c>
      <c r="P14" s="323">
        <v>75</v>
      </c>
      <c r="Q14" s="323" t="s">
        <v>114</v>
      </c>
    </row>
    <row r="15" spans="3:23" ht="15.75" thickBot="1">
      <c r="C15" s="465" t="s">
        <v>469</v>
      </c>
      <c r="D15" s="468">
        <v>4.3499999999999996</v>
      </c>
      <c r="E15" s="470" t="s">
        <v>470</v>
      </c>
      <c r="F15" s="466" t="s">
        <v>93</v>
      </c>
      <c r="G15" s="467"/>
    </row>
    <row r="16" spans="3:23">
      <c r="C16" s="465"/>
      <c r="D16" s="469"/>
      <c r="E16" s="471"/>
      <c r="F16" s="466"/>
      <c r="G16" s="467"/>
      <c r="J16" s="281" t="s">
        <v>471</v>
      </c>
      <c r="K16" s="282" t="e">
        <f>(K8*(K14-K11))/(K14-K13)</f>
        <v>#VALUE!</v>
      </c>
      <c r="L16" s="85" t="s">
        <v>424</v>
      </c>
    </row>
    <row r="17" spans="3:27" ht="15.75" thickBot="1">
      <c r="C17" s="465" t="s">
        <v>426</v>
      </c>
      <c r="D17" s="218">
        <f>'ACT 5'!C9</f>
        <v>138.10933598187177</v>
      </c>
      <c r="E17" s="337" t="s">
        <v>36</v>
      </c>
      <c r="F17" s="478" t="s">
        <v>153</v>
      </c>
      <c r="G17" s="479"/>
      <c r="J17" s="91" t="s">
        <v>472</v>
      </c>
      <c r="K17" s="93" t="e">
        <f>ABS(K8-K16)</f>
        <v>#VALUE!</v>
      </c>
      <c r="L17" s="6" t="s">
        <v>424</v>
      </c>
    </row>
    <row r="18" spans="3:27" ht="15.75" thickBot="1">
      <c r="C18" s="465"/>
      <c r="D18" s="218">
        <f>D17*0.44704</f>
        <v>61.740397557335953</v>
      </c>
      <c r="E18" s="337" t="s">
        <v>427</v>
      </c>
      <c r="F18" s="480"/>
      <c r="G18" s="481"/>
    </row>
    <row r="19" spans="3:27" ht="15.75" thickBot="1">
      <c r="C19" s="483" t="s">
        <v>432</v>
      </c>
      <c r="D19" s="221">
        <v>2.3770000000000002E-3</v>
      </c>
      <c r="E19" s="337" t="s">
        <v>177</v>
      </c>
      <c r="F19" s="478" t="s">
        <v>153</v>
      </c>
      <c r="G19" s="479"/>
      <c r="J19" s="507" t="s">
        <v>473</v>
      </c>
      <c r="K19" s="508"/>
      <c r="L19" s="509"/>
      <c r="N19" s="497" t="s">
        <v>474</v>
      </c>
      <c r="O19" s="498"/>
      <c r="P19" s="499"/>
    </row>
    <row r="20" spans="3:27">
      <c r="C20" s="483"/>
      <c r="D20" s="219">
        <v>1.2250000000000001</v>
      </c>
      <c r="E20" s="219" t="s">
        <v>433</v>
      </c>
      <c r="F20" s="480"/>
      <c r="G20" s="481"/>
      <c r="J20" s="58" t="s">
        <v>459</v>
      </c>
      <c r="K20" s="54">
        <v>8.6999999999999993</v>
      </c>
      <c r="L20" s="86" t="s">
        <v>114</v>
      </c>
      <c r="N20" s="58" t="s">
        <v>459</v>
      </c>
      <c r="O20" s="54">
        <v>5.2549999999999999</v>
      </c>
      <c r="P20" s="86" t="s">
        <v>114</v>
      </c>
      <c r="S20" s="281" t="s">
        <v>475</v>
      </c>
      <c r="T20" s="282" t="e">
        <f>4*(K16/D10)</f>
        <v>#VALUE!</v>
      </c>
      <c r="U20" s="85" t="s">
        <v>476</v>
      </c>
    </row>
    <row r="21" spans="3:27" ht="15.75" thickBot="1">
      <c r="C21" s="484" t="s">
        <v>477</v>
      </c>
      <c r="D21" s="222">
        <f>'ACT 3'!J8</f>
        <v>4.9355489382931736</v>
      </c>
      <c r="E21" s="219"/>
      <c r="F21" s="219"/>
      <c r="G21" s="223"/>
      <c r="J21" s="91" t="s">
        <v>460</v>
      </c>
      <c r="K21" s="284">
        <v>5.66</v>
      </c>
      <c r="L21" s="6" t="s">
        <v>114</v>
      </c>
      <c r="N21" s="91" t="s">
        <v>460</v>
      </c>
      <c r="O21" s="287">
        <v>2.6</v>
      </c>
      <c r="P21" s="6" t="s">
        <v>114</v>
      </c>
      <c r="S21" s="91" t="s">
        <v>478</v>
      </c>
      <c r="T21" s="93" t="e">
        <f>4*(K17/D10)</f>
        <v>#VALUE!</v>
      </c>
      <c r="U21" s="6" t="s">
        <v>476</v>
      </c>
    </row>
    <row r="22" spans="3:27" ht="15.75" thickBot="1">
      <c r="C22" s="485"/>
      <c r="D22" s="268"/>
      <c r="E22" s="224"/>
      <c r="F22" s="224"/>
      <c r="G22" s="225"/>
    </row>
    <row r="23" spans="3:27" ht="15.75" thickBot="1">
      <c r="C23" s="472" t="s">
        <v>124</v>
      </c>
      <c r="D23" s="267">
        <f>'ACT 5'!C16</f>
        <v>4.3849875262317353</v>
      </c>
      <c r="E23" s="269" t="s">
        <v>125</v>
      </c>
      <c r="F23" s="269"/>
      <c r="G23" s="270"/>
      <c r="J23" s="461" t="s">
        <v>479</v>
      </c>
      <c r="K23" s="462"/>
      <c r="L23" s="463"/>
      <c r="N23" s="500" t="s">
        <v>479</v>
      </c>
      <c r="O23" s="501"/>
      <c r="P23" s="502"/>
      <c r="S23" s="486" t="s">
        <v>480</v>
      </c>
      <c r="T23" s="487"/>
      <c r="U23" s="487"/>
      <c r="V23" s="488"/>
      <c r="X23" s="489" t="s">
        <v>481</v>
      </c>
      <c r="Y23" s="490"/>
      <c r="Z23" s="490"/>
      <c r="AA23" s="491"/>
    </row>
    <row r="24" spans="3:27" ht="15.75" thickBot="1">
      <c r="C24" s="473"/>
      <c r="D24" s="280">
        <f>'ACT 5'!C17</f>
        <v>1.3365441979954329</v>
      </c>
      <c r="E24" s="268" t="s">
        <v>345</v>
      </c>
      <c r="F24" s="268"/>
      <c r="G24" s="271"/>
      <c r="J24" s="58" t="s">
        <v>482</v>
      </c>
      <c r="K24" s="30">
        <f>((K20/100)+(K21/100))*(D24)</f>
        <v>0.19192774683214417</v>
      </c>
      <c r="L24" s="86" t="s">
        <v>345</v>
      </c>
      <c r="N24" s="58" t="s">
        <v>483</v>
      </c>
      <c r="O24" s="30">
        <f>((O20/100)+(O21/100))*(D24)</f>
        <v>0.10498554675254126</v>
      </c>
      <c r="P24" s="86" t="s">
        <v>345</v>
      </c>
      <c r="S24" s="292">
        <v>1</v>
      </c>
      <c r="T24" s="330">
        <v>2</v>
      </c>
      <c r="U24" s="330">
        <v>3</v>
      </c>
      <c r="V24" s="293">
        <v>4</v>
      </c>
      <c r="X24" s="301">
        <v>1</v>
      </c>
      <c r="Y24" s="302">
        <v>2</v>
      </c>
      <c r="Z24" s="302">
        <v>3</v>
      </c>
      <c r="AA24" s="303">
        <v>4</v>
      </c>
    </row>
    <row r="25" spans="3:27" ht="15.75" thickBot="1">
      <c r="J25" s="91" t="s">
        <v>484</v>
      </c>
      <c r="K25" s="120">
        <f>K24-(2*(O4))</f>
        <v>0.18872774683214416</v>
      </c>
      <c r="L25" s="6" t="s">
        <v>345</v>
      </c>
      <c r="N25" s="91" t="s">
        <v>485</v>
      </c>
      <c r="O25" s="120">
        <f>O24-(2*(O4))</f>
        <v>0.10178554675254127</v>
      </c>
      <c r="P25" s="6" t="s">
        <v>345</v>
      </c>
      <c r="S25" s="294" t="s">
        <v>486</v>
      </c>
      <c r="T25" s="295" t="s">
        <v>487</v>
      </c>
      <c r="U25" s="295" t="s">
        <v>435</v>
      </c>
      <c r="V25" s="296" t="s">
        <v>488</v>
      </c>
      <c r="X25" s="294" t="s">
        <v>486</v>
      </c>
      <c r="Y25" s="295" t="s">
        <v>487</v>
      </c>
      <c r="Z25" s="295" t="s">
        <v>435</v>
      </c>
      <c r="AA25" s="296" t="s">
        <v>488</v>
      </c>
    </row>
    <row r="26" spans="3:27" ht="15.75" thickBot="1">
      <c r="S26" s="297" t="s">
        <v>297</v>
      </c>
      <c r="T26" s="170" t="s">
        <v>345</v>
      </c>
      <c r="U26" s="170" t="s">
        <v>424</v>
      </c>
      <c r="V26" s="298" t="s">
        <v>489</v>
      </c>
      <c r="X26" s="292" t="s">
        <v>297</v>
      </c>
      <c r="Y26" s="330" t="s">
        <v>345</v>
      </c>
      <c r="Z26" s="330" t="s">
        <v>424</v>
      </c>
      <c r="AA26" s="293" t="s">
        <v>489</v>
      </c>
    </row>
    <row r="27" spans="3:27">
      <c r="C27" s="464" t="s">
        <v>490</v>
      </c>
      <c r="D27" s="464"/>
      <c r="E27" s="464"/>
      <c r="F27" s="464"/>
      <c r="G27" s="464"/>
      <c r="J27" s="461" t="s">
        <v>491</v>
      </c>
      <c r="K27" s="462"/>
      <c r="L27" s="463"/>
      <c r="N27" s="503" t="s">
        <v>491</v>
      </c>
      <c r="O27" s="503"/>
      <c r="P27" s="503"/>
      <c r="S27" s="277" t="s">
        <v>410</v>
      </c>
      <c r="T27" s="335">
        <v>0</v>
      </c>
      <c r="U27" s="335">
        <v>0</v>
      </c>
      <c r="V27" s="247">
        <v>0</v>
      </c>
      <c r="X27" s="277" t="s">
        <v>410</v>
      </c>
      <c r="Y27" s="335">
        <v>0</v>
      </c>
      <c r="Z27" s="335">
        <v>0</v>
      </c>
      <c r="AA27" s="247">
        <v>0</v>
      </c>
    </row>
    <row r="28" spans="3:27" ht="15" customHeight="1">
      <c r="C28" s="482" t="s">
        <v>492</v>
      </c>
      <c r="D28" s="482"/>
      <c r="E28" s="482"/>
      <c r="F28" s="217"/>
      <c r="G28" s="217"/>
      <c r="J28" s="58" t="s">
        <v>493</v>
      </c>
      <c r="K28" s="54" t="e">
        <f>K16*'ACT 5'!M37</f>
        <v>#VALUE!</v>
      </c>
      <c r="L28" s="86" t="s">
        <v>494</v>
      </c>
      <c r="N28" s="186" t="s">
        <v>495</v>
      </c>
      <c r="O28" s="54" t="e">
        <f>K17*'ACT 5'!M37</f>
        <v>#VALUE!</v>
      </c>
      <c r="P28" s="23" t="s">
        <v>494</v>
      </c>
      <c r="S28" s="277" t="s">
        <v>496</v>
      </c>
      <c r="T28" s="335" cm="1">
        <f t="array" ref="T28:T37">'ACT 5'!K24:K33</f>
        <v>0.43969999999999998</v>
      </c>
      <c r="U28" s="36" t="e">
        <f>(T28^2)*($T$20/$D$10)</f>
        <v>#VALUE!</v>
      </c>
      <c r="V28" s="299" t="e">
        <f>(T28^3)*($T$20/(3*$D$10))</f>
        <v>#VALUE!</v>
      </c>
      <c r="X28" s="277" t="s">
        <v>496</v>
      </c>
      <c r="Y28" s="335">
        <f>T28</f>
        <v>0.43969999999999998</v>
      </c>
      <c r="Z28" s="36" t="e">
        <f>(Y28^2)*($T$21/$D$10)</f>
        <v>#VALUE!</v>
      </c>
      <c r="AA28" s="299" t="e">
        <f>(Y28^3)*($T$21/(3*$D$10))</f>
        <v>#VALUE!</v>
      </c>
    </row>
    <row r="29" spans="3:27" ht="15.75" thickBot="1">
      <c r="C29" s="464" t="s">
        <v>497</v>
      </c>
      <c r="D29" s="464"/>
      <c r="E29" s="464"/>
      <c r="F29" s="217">
        <v>0.249</v>
      </c>
      <c r="G29" s="217" t="s">
        <v>498</v>
      </c>
      <c r="J29" s="91" t="s">
        <v>499</v>
      </c>
      <c r="K29" s="308" t="e">
        <f>K28/F32</f>
        <v>#VALUE!</v>
      </c>
      <c r="L29" s="6" t="s">
        <v>447</v>
      </c>
      <c r="N29" s="186" t="s">
        <v>500</v>
      </c>
      <c r="O29" s="288" t="e">
        <f>O28/F34</f>
        <v>#VALUE!</v>
      </c>
      <c r="P29" s="23" t="s">
        <v>447</v>
      </c>
      <c r="S29" s="277" t="s">
        <v>501</v>
      </c>
      <c r="T29" s="335">
        <v>0.87949999999999995</v>
      </c>
      <c r="U29" s="36" t="e">
        <f>(T29^2)*($T$20/$D$10)</f>
        <v>#VALUE!</v>
      </c>
      <c r="V29" s="299" t="e">
        <f>(T29^3)*($T$20/(3*$D$10))</f>
        <v>#VALUE!</v>
      </c>
      <c r="X29" s="277" t="s">
        <v>501</v>
      </c>
      <c r="Y29" s="335">
        <f>T29</f>
        <v>0.87949999999999995</v>
      </c>
      <c r="Z29" s="36" t="e">
        <f t="shared" ref="Z29:Z37" si="0">(Y29^2)*($T$21/$D$10)</f>
        <v>#VALUE!</v>
      </c>
      <c r="AA29" s="299" t="e">
        <f t="shared" ref="AA29:AA37" si="1">(Y29^3)*($T$21/(3*$D$10))</f>
        <v>#VALUE!</v>
      </c>
    </row>
    <row r="30" spans="3:27">
      <c r="C30" s="464"/>
      <c r="D30" s="464"/>
      <c r="E30" s="464"/>
      <c r="F30" s="217">
        <v>6.3E-3</v>
      </c>
      <c r="G30" s="217" t="s">
        <v>345</v>
      </c>
      <c r="S30" s="277" t="s">
        <v>502</v>
      </c>
      <c r="T30" s="335">
        <v>1.3191999999999999</v>
      </c>
      <c r="U30" s="36" t="e">
        <f t="shared" ref="U30:U37" si="2">(T30^2)*($T$20/$D$10)</f>
        <v>#VALUE!</v>
      </c>
      <c r="V30" s="299" t="e">
        <f t="shared" ref="V30:V37" si="3">(T30^3)*($T$20/(3*$D$10))</f>
        <v>#VALUE!</v>
      </c>
      <c r="X30" s="277" t="s">
        <v>502</v>
      </c>
      <c r="Y30" s="335">
        <f t="shared" ref="Y30:Y37" si="4">T30</f>
        <v>1.3191999999999999</v>
      </c>
      <c r="Z30" s="36" t="e">
        <f t="shared" si="0"/>
        <v>#VALUE!</v>
      </c>
      <c r="AA30" s="299" t="e">
        <f t="shared" si="1"/>
        <v>#VALUE!</v>
      </c>
    </row>
    <row r="31" spans="3:27">
      <c r="C31" s="464" t="s">
        <v>503</v>
      </c>
      <c r="D31" s="464"/>
      <c r="E31" s="464"/>
      <c r="F31" s="217">
        <v>67000</v>
      </c>
      <c r="G31" s="217" t="s">
        <v>504</v>
      </c>
      <c r="J31" s="474" t="s">
        <v>505</v>
      </c>
      <c r="K31" s="474"/>
      <c r="L31" s="474"/>
      <c r="N31" s="504" t="s">
        <v>505</v>
      </c>
      <c r="O31" s="504"/>
      <c r="P31" s="504"/>
      <c r="S31" s="277" t="s">
        <v>506</v>
      </c>
      <c r="T31" s="335">
        <v>1.7588999999999999</v>
      </c>
      <c r="U31" s="36" t="e">
        <f t="shared" si="2"/>
        <v>#VALUE!</v>
      </c>
      <c r="V31" s="299" t="e">
        <f t="shared" si="3"/>
        <v>#VALUE!</v>
      </c>
      <c r="X31" s="277" t="s">
        <v>506</v>
      </c>
      <c r="Y31" s="335">
        <f t="shared" si="4"/>
        <v>1.7588999999999999</v>
      </c>
      <c r="Z31" s="36" t="e">
        <f t="shared" si="0"/>
        <v>#VALUE!</v>
      </c>
      <c r="AA31" s="299" t="e">
        <f t="shared" si="1"/>
        <v>#VALUE!</v>
      </c>
    </row>
    <row r="32" spans="3:27">
      <c r="C32" s="464"/>
      <c r="D32" s="464"/>
      <c r="E32" s="464"/>
      <c r="F32" s="217">
        <f>4.62*10^8</f>
        <v>462000000</v>
      </c>
      <c r="G32" s="217" t="s">
        <v>507</v>
      </c>
      <c r="J32" s="186" t="s">
        <v>508</v>
      </c>
      <c r="K32" s="30">
        <f>K25/2</f>
        <v>9.436387341607208E-2</v>
      </c>
      <c r="L32" s="23" t="s">
        <v>345</v>
      </c>
      <c r="N32" s="186" t="s">
        <v>509</v>
      </c>
      <c r="O32" s="30">
        <f>O25/2</f>
        <v>5.0892773376270635E-2</v>
      </c>
      <c r="P32" s="23" t="s">
        <v>345</v>
      </c>
      <c r="S32" s="277" t="s">
        <v>510</v>
      </c>
      <c r="T32" s="335">
        <v>2.1987000000000001</v>
      </c>
      <c r="U32" s="36" t="e">
        <f t="shared" si="2"/>
        <v>#VALUE!</v>
      </c>
      <c r="V32" s="299" t="e">
        <f t="shared" si="3"/>
        <v>#VALUE!</v>
      </c>
      <c r="X32" s="277" t="s">
        <v>510</v>
      </c>
      <c r="Y32" s="335">
        <f t="shared" si="4"/>
        <v>2.1987000000000001</v>
      </c>
      <c r="Z32" s="36" t="e">
        <f t="shared" si="0"/>
        <v>#VALUE!</v>
      </c>
      <c r="AA32" s="299" t="e">
        <f t="shared" si="1"/>
        <v>#VALUE!</v>
      </c>
    </row>
    <row r="33" spans="3:27">
      <c r="C33" s="464" t="s">
        <v>511</v>
      </c>
      <c r="D33" s="464"/>
      <c r="E33" s="464"/>
      <c r="F33" s="217">
        <v>68000</v>
      </c>
      <c r="G33" s="217" t="s">
        <v>504</v>
      </c>
      <c r="J33" s="186" t="s">
        <v>512</v>
      </c>
      <c r="K33" s="289" t="e">
        <f>K29/(2*(K25/2))</f>
        <v>#VALUE!</v>
      </c>
      <c r="L33" s="23" t="s">
        <v>425</v>
      </c>
      <c r="N33" s="186" t="s">
        <v>513</v>
      </c>
      <c r="O33" s="289" t="e">
        <f>O29/(2*O32)</f>
        <v>#VALUE!</v>
      </c>
      <c r="P33" s="23" t="s">
        <v>425</v>
      </c>
      <c r="S33" s="277" t="s">
        <v>514</v>
      </c>
      <c r="T33" s="335">
        <v>2.6383999999999999</v>
      </c>
      <c r="U33" s="36" t="e">
        <f t="shared" si="2"/>
        <v>#VALUE!</v>
      </c>
      <c r="V33" s="299" t="e">
        <f t="shared" si="3"/>
        <v>#VALUE!</v>
      </c>
      <c r="X33" s="277" t="s">
        <v>514</v>
      </c>
      <c r="Y33" s="335">
        <f t="shared" si="4"/>
        <v>2.6383999999999999</v>
      </c>
      <c r="Z33" s="36" t="e">
        <f t="shared" si="0"/>
        <v>#VALUE!</v>
      </c>
      <c r="AA33" s="299" t="e">
        <f t="shared" si="1"/>
        <v>#VALUE!</v>
      </c>
    </row>
    <row r="34" spans="3:27" ht="15.75" thickBot="1">
      <c r="C34" s="464"/>
      <c r="D34" s="464"/>
      <c r="E34" s="464"/>
      <c r="F34" s="217">
        <f>4.69*10^8</f>
        <v>469000000.00000006</v>
      </c>
      <c r="G34" s="217" t="s">
        <v>507</v>
      </c>
      <c r="S34" s="277" t="s">
        <v>515</v>
      </c>
      <c r="T34" s="335">
        <v>3.0781000000000001</v>
      </c>
      <c r="U34" s="36" t="e">
        <f t="shared" si="2"/>
        <v>#VALUE!</v>
      </c>
      <c r="V34" s="299" t="e">
        <f t="shared" si="3"/>
        <v>#VALUE!</v>
      </c>
      <c r="X34" s="277" t="s">
        <v>515</v>
      </c>
      <c r="Y34" s="335">
        <f t="shared" si="4"/>
        <v>3.0781000000000001</v>
      </c>
      <c r="Z34" s="36" t="e">
        <f t="shared" si="0"/>
        <v>#VALUE!</v>
      </c>
      <c r="AA34" s="299" t="e">
        <f t="shared" si="1"/>
        <v>#VALUE!</v>
      </c>
    </row>
    <row r="35" spans="3:27">
      <c r="C35" s="464" t="s">
        <v>516</v>
      </c>
      <c r="D35" s="464"/>
      <c r="E35" s="464"/>
      <c r="F35" s="285" t="s">
        <v>517</v>
      </c>
      <c r="G35" s="217"/>
      <c r="J35" s="494" t="s">
        <v>518</v>
      </c>
      <c r="K35" s="495"/>
      <c r="L35" s="496"/>
      <c r="N35" s="505" t="s">
        <v>518</v>
      </c>
      <c r="O35" s="505"/>
      <c r="P35" s="505"/>
      <c r="S35" s="277" t="s">
        <v>515</v>
      </c>
      <c r="T35" s="335">
        <v>3.5177999999999998</v>
      </c>
      <c r="U35" s="36" t="e">
        <f t="shared" si="2"/>
        <v>#VALUE!</v>
      </c>
      <c r="V35" s="299" t="e">
        <f t="shared" si="3"/>
        <v>#VALUE!</v>
      </c>
      <c r="X35" s="277" t="s">
        <v>515</v>
      </c>
      <c r="Y35" s="335">
        <f t="shared" si="4"/>
        <v>3.5177999999999998</v>
      </c>
      <c r="Z35" s="36" t="e">
        <f t="shared" si="0"/>
        <v>#VALUE!</v>
      </c>
      <c r="AA35" s="299" t="e">
        <f t="shared" si="1"/>
        <v>#VALUE!</v>
      </c>
    </row>
    <row r="36" spans="3:27" ht="15.75" thickBot="1">
      <c r="J36" s="91" t="s">
        <v>519</v>
      </c>
      <c r="K36" s="120" t="e">
        <f>K33/F30</f>
        <v>#VALUE!</v>
      </c>
      <c r="L36" s="6" t="s">
        <v>345</v>
      </c>
      <c r="N36" s="186" t="s">
        <v>520</v>
      </c>
      <c r="O36" s="30" t="e">
        <f>O33/F30</f>
        <v>#VALUE!</v>
      </c>
      <c r="P36" s="23" t="s">
        <v>345</v>
      </c>
      <c r="S36" s="277" t="s">
        <v>521</v>
      </c>
      <c r="T36" s="335">
        <v>3.9575999999999998</v>
      </c>
      <c r="U36" s="36" t="e">
        <f t="shared" si="2"/>
        <v>#VALUE!</v>
      </c>
      <c r="V36" s="299" t="e">
        <f t="shared" si="3"/>
        <v>#VALUE!</v>
      </c>
      <c r="X36" s="277" t="s">
        <v>521</v>
      </c>
      <c r="Y36" s="335">
        <f t="shared" si="4"/>
        <v>3.9575999999999998</v>
      </c>
      <c r="Z36" s="36" t="e">
        <f t="shared" si="0"/>
        <v>#VALUE!</v>
      </c>
      <c r="AA36" s="299" t="e">
        <f t="shared" si="1"/>
        <v>#VALUE!</v>
      </c>
    </row>
    <row r="37" spans="3:27" ht="15.75" thickBot="1">
      <c r="S37" s="291" t="s">
        <v>411</v>
      </c>
      <c r="T37" s="290">
        <v>4.3973000000000004</v>
      </c>
      <c r="U37" s="169" t="e">
        <f t="shared" si="2"/>
        <v>#VALUE!</v>
      </c>
      <c r="V37" s="300" t="e">
        <f t="shared" si="3"/>
        <v>#VALUE!</v>
      </c>
      <c r="X37" s="291" t="s">
        <v>411</v>
      </c>
      <c r="Y37" s="290">
        <f t="shared" si="4"/>
        <v>4.3973000000000004</v>
      </c>
      <c r="Z37" s="169" t="e">
        <f t="shared" si="0"/>
        <v>#VALUE!</v>
      </c>
      <c r="AA37" s="300" t="e">
        <f t="shared" si="1"/>
        <v>#VALUE!</v>
      </c>
    </row>
    <row r="38" spans="3:27">
      <c r="E38" s="307" t="s">
        <v>451</v>
      </c>
      <c r="F38" s="229">
        <v>2.8581945987752899</v>
      </c>
      <c r="G38" s="323" t="s">
        <v>345</v>
      </c>
      <c r="J38" s="474" t="s">
        <v>522</v>
      </c>
      <c r="K38" s="474"/>
      <c r="L38" s="474"/>
      <c r="N38" s="504" t="s">
        <v>522</v>
      </c>
      <c r="O38" s="504"/>
      <c r="P38" s="504"/>
    </row>
    <row r="39" spans="3:27">
      <c r="J39" s="186" t="s">
        <v>523</v>
      </c>
      <c r="K39" s="288" t="e">
        <f>2*K33*K32^2</f>
        <v>#VALUE!</v>
      </c>
      <c r="L39" s="23" t="s">
        <v>524</v>
      </c>
      <c r="N39" s="186" t="s">
        <v>525</v>
      </c>
      <c r="O39" s="288" t="e">
        <f>2*O33*(O32^2)</f>
        <v>#VALUE!</v>
      </c>
      <c r="P39" s="23" t="s">
        <v>524</v>
      </c>
    </row>
  </sheetData>
  <mergeCells count="46">
    <mergeCell ref="S23:V23"/>
    <mergeCell ref="X23:AA23"/>
    <mergeCell ref="U6:W6"/>
    <mergeCell ref="J35:L35"/>
    <mergeCell ref="J38:L38"/>
    <mergeCell ref="N19:P19"/>
    <mergeCell ref="N23:P23"/>
    <mergeCell ref="N27:P27"/>
    <mergeCell ref="N31:P31"/>
    <mergeCell ref="N35:P35"/>
    <mergeCell ref="N38:P38"/>
    <mergeCell ref="O6:P6"/>
    <mergeCell ref="R6:S6"/>
    <mergeCell ref="J19:L19"/>
    <mergeCell ref="C35:E35"/>
    <mergeCell ref="F4:G6"/>
    <mergeCell ref="C4:C6"/>
    <mergeCell ref="F17:G18"/>
    <mergeCell ref="F19:G20"/>
    <mergeCell ref="F13:G14"/>
    <mergeCell ref="C7:C8"/>
    <mergeCell ref="F7:G8"/>
    <mergeCell ref="C33:E34"/>
    <mergeCell ref="C27:G27"/>
    <mergeCell ref="C28:E28"/>
    <mergeCell ref="C15:C16"/>
    <mergeCell ref="F15:G16"/>
    <mergeCell ref="C17:C18"/>
    <mergeCell ref="C19:C20"/>
    <mergeCell ref="C21:C22"/>
    <mergeCell ref="C2:E3"/>
    <mergeCell ref="F2:G3"/>
    <mergeCell ref="J4:L4"/>
    <mergeCell ref="C29:E30"/>
    <mergeCell ref="C31:E32"/>
    <mergeCell ref="C9:C10"/>
    <mergeCell ref="F9:G10"/>
    <mergeCell ref="C11:C12"/>
    <mergeCell ref="F11:G12"/>
    <mergeCell ref="C13:C14"/>
    <mergeCell ref="D15:D16"/>
    <mergeCell ref="E15:E16"/>
    <mergeCell ref="C23:C24"/>
    <mergeCell ref="J23:L23"/>
    <mergeCell ref="J27:L27"/>
    <mergeCell ref="J31:L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FDD4-E55B-4EFC-9239-2415CBABE7D7}">
  <dimension ref="B3:AE31"/>
  <sheetViews>
    <sheetView topLeftCell="A10" zoomScaleNormal="100" workbookViewId="0">
      <selection activeCell="V28" sqref="V28"/>
    </sheetView>
  </sheetViews>
  <sheetFormatPr defaultColWidth="8.85546875" defaultRowHeight="15"/>
  <cols>
    <col min="16" max="16" width="9.85546875" bestFit="1" customWidth="1"/>
  </cols>
  <sheetData>
    <row r="3" spans="2:31" ht="15.75" thickBot="1"/>
    <row r="4" spans="2:31">
      <c r="B4" s="446" t="s">
        <v>79</v>
      </c>
      <c r="C4" s="447"/>
      <c r="D4" s="448"/>
      <c r="E4" s="452" t="s">
        <v>409</v>
      </c>
      <c r="F4" s="453"/>
    </row>
    <row r="5" spans="2:31" ht="15.75" thickBot="1">
      <c r="B5" s="456"/>
      <c r="C5" s="457"/>
      <c r="D5" s="458"/>
      <c r="E5" s="459"/>
      <c r="F5" s="460"/>
      <c r="L5" s="518" t="s">
        <v>526</v>
      </c>
      <c r="M5" s="518"/>
      <c r="N5" s="518"/>
      <c r="O5" s="518"/>
      <c r="P5" s="518"/>
      <c r="Q5" s="518"/>
      <c r="S5" s="519" t="s">
        <v>527</v>
      </c>
      <c r="T5" s="519"/>
      <c r="U5" s="519"/>
      <c r="V5" s="519"/>
      <c r="W5" s="519"/>
      <c r="X5" s="519"/>
      <c r="Z5" s="518" t="s">
        <v>528</v>
      </c>
      <c r="AA5" s="518"/>
      <c r="AB5" s="518"/>
      <c r="AC5" s="518"/>
      <c r="AD5" s="518"/>
      <c r="AE5" s="518"/>
    </row>
    <row r="6" spans="2:31">
      <c r="B6" s="477" t="s">
        <v>91</v>
      </c>
      <c r="C6" s="226">
        <f>'ACT 6'!D4</f>
        <v>1649.2521457653345</v>
      </c>
      <c r="D6" s="336" t="s">
        <v>92</v>
      </c>
      <c r="E6" s="475" t="s">
        <v>93</v>
      </c>
      <c r="F6" s="476"/>
      <c r="L6" s="520" t="s">
        <v>529</v>
      </c>
      <c r="M6" s="520"/>
      <c r="N6" s="520"/>
      <c r="O6" s="520"/>
      <c r="P6" s="23"/>
      <c r="Q6" s="23"/>
      <c r="S6" s="314" t="s">
        <v>530</v>
      </c>
      <c r="T6" s="311" t="s">
        <v>531</v>
      </c>
      <c r="U6" s="311"/>
      <c r="V6" s="311"/>
      <c r="Z6" s="314" t="s">
        <v>530</v>
      </c>
      <c r="AA6" s="311" t="s">
        <v>531</v>
      </c>
      <c r="AB6" s="311"/>
      <c r="AC6" s="311"/>
    </row>
    <row r="7" spans="2:31">
      <c r="B7" s="465"/>
      <c r="C7" s="218">
        <f>'[1]ACT 3'!$M$8</f>
        <v>748.08757930198965</v>
      </c>
      <c r="D7" s="337" t="s">
        <v>418</v>
      </c>
      <c r="E7" s="466"/>
      <c r="F7" s="467"/>
      <c r="H7" s="186" t="s">
        <v>532</v>
      </c>
      <c r="I7" s="23">
        <v>2.5</v>
      </c>
      <c r="J7" s="23"/>
      <c r="L7" s="314" t="s">
        <v>530</v>
      </c>
      <c r="M7" s="311" t="s">
        <v>531</v>
      </c>
      <c r="N7" s="311"/>
      <c r="O7" s="311"/>
      <c r="P7" s="23"/>
      <c r="Q7" s="23"/>
      <c r="S7" s="186" t="s">
        <v>533</v>
      </c>
      <c r="T7" s="54">
        <f>M8</f>
        <v>4431.0516969215159</v>
      </c>
      <c r="U7" s="23" t="s">
        <v>92</v>
      </c>
      <c r="Z7" s="186" t="s">
        <v>533</v>
      </c>
      <c r="AA7" s="54">
        <f>T7</f>
        <v>4431.0516969215159</v>
      </c>
      <c r="AB7" s="23" t="s">
        <v>92</v>
      </c>
    </row>
    <row r="8" spans="2:31">
      <c r="B8" s="465"/>
      <c r="C8" s="218">
        <f>9.81*C7</f>
        <v>7338.7391529525185</v>
      </c>
      <c r="D8" s="323" t="s">
        <v>424</v>
      </c>
      <c r="E8" s="466"/>
      <c r="F8" s="467"/>
      <c r="H8" s="186" t="s">
        <v>534</v>
      </c>
      <c r="I8" s="54">
        <f>3.6*SQRT('ACT 3'!D7)</f>
        <v>12.997646481627312</v>
      </c>
      <c r="J8" s="23" t="s">
        <v>498</v>
      </c>
      <c r="L8" s="186" t="s">
        <v>533</v>
      </c>
      <c r="M8" s="54">
        <f>I12*C9</f>
        <v>4431.0516969215159</v>
      </c>
      <c r="N8" s="23" t="s">
        <v>92</v>
      </c>
      <c r="O8" s="23"/>
      <c r="P8" s="23"/>
      <c r="Q8" s="23"/>
      <c r="S8" s="314" t="s">
        <v>535</v>
      </c>
      <c r="T8" s="388" t="s">
        <v>536</v>
      </c>
      <c r="U8" s="388"/>
      <c r="V8" s="388"/>
      <c r="W8" s="388"/>
      <c r="Z8" s="314" t="s">
        <v>535</v>
      </c>
      <c r="AA8" s="388" t="s">
        <v>536</v>
      </c>
      <c r="AB8" s="388"/>
      <c r="AC8" s="388"/>
      <c r="AD8" s="388"/>
    </row>
    <row r="9" spans="2:31">
      <c r="B9" s="465" t="s">
        <v>537</v>
      </c>
      <c r="C9" s="218">
        <f>'[1]ACT 8'!$I$16</f>
        <v>1609.5956275446676</v>
      </c>
      <c r="D9" s="337" t="s">
        <v>92</v>
      </c>
      <c r="E9" s="466" t="s">
        <v>538</v>
      </c>
      <c r="F9" s="467"/>
      <c r="H9" s="186" t="s">
        <v>539</v>
      </c>
      <c r="I9" s="55">
        <f>2/3</f>
        <v>0.66666666666666663</v>
      </c>
      <c r="J9" s="23"/>
      <c r="L9" s="314" t="s">
        <v>535</v>
      </c>
      <c r="M9" s="388" t="s">
        <v>536</v>
      </c>
      <c r="N9" s="388"/>
      <c r="O9" s="388"/>
      <c r="P9" s="388"/>
      <c r="Q9" s="23"/>
      <c r="S9" s="186" t="s">
        <v>57</v>
      </c>
      <c r="T9" s="23">
        <f>0.25</f>
        <v>0.25</v>
      </c>
      <c r="U9" s="23"/>
      <c r="Z9" s="186" t="s">
        <v>540</v>
      </c>
      <c r="AA9" s="23">
        <v>0</v>
      </c>
      <c r="AB9" s="23" t="s">
        <v>92</v>
      </c>
    </row>
    <row r="10" spans="2:31">
      <c r="B10" s="465"/>
      <c r="C10" s="218"/>
      <c r="D10" s="337" t="s">
        <v>418</v>
      </c>
      <c r="E10" s="466"/>
      <c r="F10" s="467"/>
      <c r="L10" s="186" t="s">
        <v>57</v>
      </c>
      <c r="M10" s="23">
        <f>0.25</f>
        <v>0.25</v>
      </c>
      <c r="N10" s="23"/>
      <c r="O10" s="23"/>
      <c r="P10" s="23"/>
      <c r="Q10" s="23"/>
      <c r="S10" s="186" t="s">
        <v>540</v>
      </c>
      <c r="T10" s="54">
        <f>M11</f>
        <v>1107.762924230379</v>
      </c>
      <c r="U10" s="23" t="s">
        <v>92</v>
      </c>
      <c r="Z10" s="314" t="s">
        <v>541</v>
      </c>
      <c r="AA10" s="510" t="s">
        <v>542</v>
      </c>
      <c r="AB10" s="510"/>
      <c r="AC10" s="510"/>
      <c r="AD10" s="510"/>
    </row>
    <row r="11" spans="2:31">
      <c r="B11" s="465" t="s">
        <v>543</v>
      </c>
      <c r="C11" s="218">
        <f>'[1]ACT 11'!$P$35</f>
        <v>202.56035944007857</v>
      </c>
      <c r="D11" s="337" t="s">
        <v>37</v>
      </c>
      <c r="E11" s="466" t="s">
        <v>93</v>
      </c>
      <c r="F11" s="467"/>
      <c r="H11" s="186" t="s">
        <v>544</v>
      </c>
      <c r="I11" s="54">
        <f>(C9)*((I8+(1-I9)*(C17))/(I8+C17))</f>
        <v>1343.1951780900285</v>
      </c>
      <c r="J11" s="23" t="s">
        <v>545</v>
      </c>
      <c r="L11" s="186" t="s">
        <v>540</v>
      </c>
      <c r="M11" s="54">
        <f>M10*I12*C9</f>
        <v>1107.762924230379</v>
      </c>
      <c r="N11" s="23" t="s">
        <v>92</v>
      </c>
      <c r="O11" s="23"/>
      <c r="P11" s="23"/>
      <c r="Q11" s="23"/>
      <c r="S11" s="314" t="s">
        <v>541</v>
      </c>
      <c r="T11" s="510" t="s">
        <v>542</v>
      </c>
      <c r="U11" s="510"/>
      <c r="V11" s="510"/>
      <c r="W11" s="510"/>
      <c r="Z11" s="186" t="s">
        <v>546</v>
      </c>
      <c r="AA11" s="23">
        <f>T12</f>
        <v>0</v>
      </c>
      <c r="AB11" s="23"/>
    </row>
    <row r="12" spans="2:31">
      <c r="B12" s="465"/>
      <c r="C12" s="218"/>
      <c r="D12" s="337" t="s">
        <v>427</v>
      </c>
      <c r="E12" s="466"/>
      <c r="F12" s="467"/>
      <c r="H12" s="186" t="s">
        <v>35</v>
      </c>
      <c r="I12" s="55">
        <f>I7*(I11/C9)+I9</f>
        <v>2.7528974489579063</v>
      </c>
      <c r="J12" s="23"/>
      <c r="L12" s="314" t="s">
        <v>541</v>
      </c>
      <c r="M12" s="510" t="s">
        <v>542</v>
      </c>
      <c r="N12" s="510"/>
      <c r="O12" s="510"/>
      <c r="P12" s="510"/>
      <c r="Q12" s="23"/>
      <c r="S12" s="186" t="s">
        <v>546</v>
      </c>
      <c r="T12" s="23">
        <f>M13</f>
        <v>0</v>
      </c>
      <c r="U12" s="23"/>
      <c r="Z12" s="318" t="s">
        <v>547</v>
      </c>
      <c r="AA12" s="426" t="s">
        <v>548</v>
      </c>
      <c r="AB12" s="426"/>
      <c r="AC12" s="426"/>
      <c r="AD12" s="426"/>
    </row>
    <row r="13" spans="2:31">
      <c r="B13" s="465" t="s">
        <v>99</v>
      </c>
      <c r="C13" s="218">
        <f>'[1]ACT 3'!$R$14</f>
        <v>126.52100068226807</v>
      </c>
      <c r="D13" s="337" t="s">
        <v>100</v>
      </c>
      <c r="E13" s="466" t="s">
        <v>144</v>
      </c>
      <c r="F13" s="467"/>
      <c r="L13" s="186" t="s">
        <v>546</v>
      </c>
      <c r="M13" s="23">
        <f>0</f>
        <v>0</v>
      </c>
      <c r="N13" s="23"/>
      <c r="O13" s="23"/>
      <c r="P13" s="23"/>
      <c r="Q13" s="23"/>
      <c r="S13" s="319" t="s">
        <v>547</v>
      </c>
      <c r="T13" s="517" t="s">
        <v>548</v>
      </c>
      <c r="U13" s="517"/>
      <c r="V13" s="517"/>
      <c r="W13" s="517"/>
      <c r="Z13" s="186"/>
      <c r="AA13" s="335">
        <f>0.75</f>
        <v>0.75</v>
      </c>
      <c r="AB13" s="23"/>
    </row>
    <row r="14" spans="2:31" ht="15" customHeight="1">
      <c r="B14" s="465"/>
      <c r="C14" s="218">
        <f>'[1]ACT 3'!$S$14</f>
        <v>11.754180526384751</v>
      </c>
      <c r="D14" s="337" t="s">
        <v>131</v>
      </c>
      <c r="E14" s="466"/>
      <c r="F14" s="467"/>
      <c r="H14" s="503" t="s">
        <v>549</v>
      </c>
      <c r="I14" s="503"/>
      <c r="J14" s="503"/>
      <c r="L14" s="316" t="s">
        <v>547</v>
      </c>
      <c r="M14" s="426" t="s">
        <v>548</v>
      </c>
      <c r="N14" s="426"/>
      <c r="O14" s="426"/>
      <c r="P14" s="426"/>
      <c r="Q14" s="23"/>
      <c r="S14" s="186"/>
      <c r="T14" s="23">
        <f>0.75</f>
        <v>0.75</v>
      </c>
      <c r="U14" s="23"/>
      <c r="Z14" s="314" t="s">
        <v>550</v>
      </c>
      <c r="AA14" s="311" t="s">
        <v>551</v>
      </c>
      <c r="AB14" s="311"/>
    </row>
    <row r="15" spans="2:31">
      <c r="B15" s="465" t="s">
        <v>421</v>
      </c>
      <c r="C15" s="218">
        <f>'[1]ACT 3'!$R$18</f>
        <v>28.85321792260482</v>
      </c>
      <c r="D15" s="337" t="s">
        <v>125</v>
      </c>
      <c r="E15" s="466" t="s">
        <v>93</v>
      </c>
      <c r="F15" s="467"/>
      <c r="H15" s="186" t="s">
        <v>552</v>
      </c>
      <c r="I15" s="55">
        <f>I12-I9</f>
        <v>2.0862307822912398</v>
      </c>
      <c r="J15" s="23"/>
      <c r="L15" s="23"/>
      <c r="M15" s="23">
        <f>0.75</f>
        <v>0.75</v>
      </c>
      <c r="N15" s="23"/>
      <c r="O15" s="23"/>
      <c r="P15" s="23"/>
      <c r="Q15" s="23"/>
      <c r="S15" s="315" t="s">
        <v>550</v>
      </c>
      <c r="T15" s="313" t="s">
        <v>551</v>
      </c>
      <c r="U15" s="311"/>
      <c r="Z15" s="186" t="s">
        <v>553</v>
      </c>
      <c r="AA15" s="23">
        <f>T16</f>
        <v>0.47</v>
      </c>
      <c r="AB15" s="23"/>
    </row>
    <row r="16" spans="2:31">
      <c r="B16" s="465"/>
      <c r="C16" s="220">
        <f>'[1]ACT 3'!$S$18</f>
        <v>8.794460822809949</v>
      </c>
      <c r="D16" s="337" t="s">
        <v>462</v>
      </c>
      <c r="E16" s="466"/>
      <c r="F16" s="467"/>
      <c r="L16" s="314" t="s">
        <v>550</v>
      </c>
      <c r="M16" s="311"/>
      <c r="N16" s="311"/>
      <c r="O16" s="23"/>
      <c r="P16" s="23"/>
      <c r="Q16" s="23"/>
      <c r="S16" s="186" t="s">
        <v>553</v>
      </c>
      <c r="T16" s="23">
        <f>M17</f>
        <v>0.47</v>
      </c>
      <c r="U16" s="23"/>
      <c r="Z16" s="186" t="s">
        <v>554</v>
      </c>
      <c r="AA16" s="54">
        <f>T17</f>
        <v>3</v>
      </c>
      <c r="AB16" s="23" t="s">
        <v>498</v>
      </c>
    </row>
    <row r="17" spans="2:30" ht="27" customHeight="1">
      <c r="B17" s="339" t="s">
        <v>555</v>
      </c>
      <c r="C17" s="218">
        <f>'[1]ACT 8'!$I$19</f>
        <v>4.2924710408111268</v>
      </c>
      <c r="D17" s="337" t="s">
        <v>498</v>
      </c>
      <c r="E17" s="466" t="s">
        <v>538</v>
      </c>
      <c r="F17" s="467"/>
      <c r="L17" s="186" t="s">
        <v>553</v>
      </c>
      <c r="M17" s="23">
        <v>0.47</v>
      </c>
      <c r="N17" s="23"/>
      <c r="O17" s="23"/>
      <c r="P17" s="23"/>
      <c r="Q17" s="23"/>
      <c r="S17" s="186" t="s">
        <v>554</v>
      </c>
      <c r="T17" s="54">
        <f>M18</f>
        <v>3</v>
      </c>
      <c r="U17" s="23" t="s">
        <v>498</v>
      </c>
      <c r="Z17" s="310" t="s">
        <v>556</v>
      </c>
      <c r="AA17" s="23">
        <f>T18</f>
        <v>1.41</v>
      </c>
      <c r="AB17" s="23" t="s">
        <v>498</v>
      </c>
    </row>
    <row r="18" spans="2:30" ht="30.75" thickBot="1">
      <c r="B18" s="309"/>
      <c r="L18" s="186" t="s">
        <v>554</v>
      </c>
      <c r="M18" s="54">
        <v>3</v>
      </c>
      <c r="N18" s="23" t="s">
        <v>498</v>
      </c>
      <c r="O18" s="23"/>
      <c r="P18" s="23"/>
      <c r="Q18" s="23"/>
      <c r="S18" s="310" t="s">
        <v>556</v>
      </c>
      <c r="T18" s="23">
        <f>M19</f>
        <v>1.41</v>
      </c>
      <c r="U18" s="23" t="s">
        <v>498</v>
      </c>
      <c r="Z18" s="314" t="s">
        <v>557</v>
      </c>
      <c r="AA18" s="388" t="s">
        <v>558</v>
      </c>
      <c r="AB18" s="388"/>
      <c r="AC18" s="388"/>
      <c r="AD18" s="388"/>
    </row>
    <row r="19" spans="2:30" ht="30">
      <c r="B19" s="403" t="s">
        <v>559</v>
      </c>
      <c r="C19" s="513"/>
      <c r="D19" s="84" t="s">
        <v>560</v>
      </c>
      <c r="E19" s="85"/>
      <c r="L19" s="310" t="s">
        <v>556</v>
      </c>
      <c r="M19" s="23">
        <f>M17*M18</f>
        <v>1.41</v>
      </c>
      <c r="N19" s="23" t="s">
        <v>498</v>
      </c>
      <c r="O19" s="23"/>
      <c r="P19" s="23"/>
      <c r="Q19" s="23"/>
      <c r="S19" s="314" t="s">
        <v>557</v>
      </c>
      <c r="T19" s="388" t="s">
        <v>558</v>
      </c>
      <c r="U19" s="388"/>
      <c r="V19" s="388"/>
      <c r="W19" s="388"/>
      <c r="Z19" s="186" t="s">
        <v>561</v>
      </c>
      <c r="AA19" s="54">
        <f>(I12-I9)*C9</f>
        <v>3357.9879452250711</v>
      </c>
      <c r="AB19" s="23" t="s">
        <v>92</v>
      </c>
    </row>
    <row r="20" spans="2:30" ht="15.75" thickBot="1">
      <c r="B20" s="511" t="s">
        <v>562</v>
      </c>
      <c r="C20" s="512"/>
      <c r="D20" s="5" t="s">
        <v>563</v>
      </c>
      <c r="E20" s="6"/>
      <c r="L20" s="314" t="s">
        <v>557</v>
      </c>
      <c r="M20" s="388" t="s">
        <v>558</v>
      </c>
      <c r="N20" s="388"/>
      <c r="O20" s="388"/>
      <c r="P20" s="388"/>
      <c r="Q20" s="23"/>
      <c r="S20" s="186" t="s">
        <v>561</v>
      </c>
      <c r="T20" s="54">
        <f>(I12-I9)*C9</f>
        <v>3357.9879452250711</v>
      </c>
      <c r="U20" s="23" t="s">
        <v>92</v>
      </c>
      <c r="Z20" s="186" t="s">
        <v>564</v>
      </c>
      <c r="AA20" s="23">
        <v>0</v>
      </c>
      <c r="AB20" s="23" t="s">
        <v>92</v>
      </c>
    </row>
    <row r="21" spans="2:30">
      <c r="L21" s="186" t="s">
        <v>565</v>
      </c>
      <c r="M21" s="54">
        <f>P21*3.28084</f>
        <v>3.7526613733660001</v>
      </c>
      <c r="N21" s="23" t="s">
        <v>125</v>
      </c>
      <c r="O21" s="23"/>
      <c r="P21" s="261">
        <v>1.1438111500000001</v>
      </c>
      <c r="Q21" s="23" t="s">
        <v>345</v>
      </c>
      <c r="S21" s="186" t="s">
        <v>564</v>
      </c>
      <c r="T21" s="54">
        <f>T9*I12*C9</f>
        <v>1107.762924230379</v>
      </c>
      <c r="U21" s="23" t="s">
        <v>92</v>
      </c>
      <c r="Z21" s="314" t="s">
        <v>566</v>
      </c>
      <c r="AA21" s="311" t="s">
        <v>567</v>
      </c>
      <c r="AB21" s="311"/>
      <c r="AC21" s="311"/>
      <c r="AD21" s="311"/>
    </row>
    <row r="22" spans="2:30" ht="15.75" thickBot="1">
      <c r="L22" s="186" t="s">
        <v>568</v>
      </c>
      <c r="M22" s="54">
        <f>P22*3.28084</f>
        <v>1.6245359771819998</v>
      </c>
      <c r="N22" s="23" t="s">
        <v>125</v>
      </c>
      <c r="O22" s="23"/>
      <c r="P22" s="261">
        <v>0.49515854999999998</v>
      </c>
      <c r="Q22" s="23" t="s">
        <v>345</v>
      </c>
      <c r="S22" s="314" t="s">
        <v>566</v>
      </c>
      <c r="T22" s="311" t="s">
        <v>567</v>
      </c>
      <c r="U22" s="311"/>
      <c r="V22" s="311"/>
      <c r="W22" s="311"/>
      <c r="Z22" s="186" t="s">
        <v>322</v>
      </c>
      <c r="AA22" s="23">
        <v>0</v>
      </c>
      <c r="AB22" s="23" t="s">
        <v>92</v>
      </c>
    </row>
    <row r="23" spans="2:30">
      <c r="B23" s="514" t="s">
        <v>569</v>
      </c>
      <c r="C23" s="515"/>
      <c r="D23" s="516"/>
      <c r="G23" s="514" t="s">
        <v>570</v>
      </c>
      <c r="H23" s="515"/>
      <c r="I23" s="516"/>
      <c r="L23" s="186" t="s">
        <v>571</v>
      </c>
      <c r="M23" s="54">
        <f>P23*3.28084</f>
        <v>5.3771973833563997</v>
      </c>
      <c r="N23" s="23" t="s">
        <v>125</v>
      </c>
      <c r="O23" s="23"/>
      <c r="P23" s="261">
        <v>1.63896971</v>
      </c>
      <c r="Q23" s="23" t="s">
        <v>345</v>
      </c>
      <c r="S23" s="186" t="s">
        <v>322</v>
      </c>
      <c r="T23" s="23">
        <v>0</v>
      </c>
      <c r="U23" s="23" t="s">
        <v>92</v>
      </c>
      <c r="Z23" s="186" t="s">
        <v>572</v>
      </c>
      <c r="AA23" s="23">
        <v>0</v>
      </c>
      <c r="AB23" s="23" t="s">
        <v>92</v>
      </c>
    </row>
    <row r="24" spans="2:30">
      <c r="B24" s="58" t="s">
        <v>469</v>
      </c>
      <c r="C24" s="54">
        <f>DEGREES(ATAN(M10))</f>
        <v>14.036243467926479</v>
      </c>
      <c r="D24" s="86" t="s">
        <v>470</v>
      </c>
      <c r="G24" s="58" t="s">
        <v>573</v>
      </c>
      <c r="H24" s="54">
        <f>DEGREES(ATAN((I12*M10)/(I12-I9)))</f>
        <v>18.257148935681982</v>
      </c>
      <c r="I24" s="86" t="s">
        <v>470</v>
      </c>
      <c r="L24" s="186" t="s">
        <v>561</v>
      </c>
      <c r="M24" s="54">
        <f>((I12-I9)*C9*M21)/M23</f>
        <v>2343.4869051448341</v>
      </c>
      <c r="N24" s="23" t="s">
        <v>92</v>
      </c>
      <c r="O24" s="23"/>
      <c r="P24" s="23"/>
      <c r="Q24" s="23"/>
      <c r="S24" s="186" t="s">
        <v>572</v>
      </c>
      <c r="T24" s="23">
        <v>0</v>
      </c>
      <c r="U24" s="23" t="s">
        <v>92</v>
      </c>
    </row>
    <row r="25" spans="2:30" ht="15.75" thickBot="1">
      <c r="B25" s="58" t="s">
        <v>574</v>
      </c>
      <c r="C25" s="23">
        <f>COS(C24*(PI()/180))</f>
        <v>0.97014250014533188</v>
      </c>
      <c r="D25" s="86"/>
      <c r="G25" s="91" t="s">
        <v>575</v>
      </c>
      <c r="H25" s="93">
        <f>T21/(SIN(H24*(PI()/180)))</f>
        <v>3535.9894989346817</v>
      </c>
      <c r="I25" s="6" t="s">
        <v>92</v>
      </c>
      <c r="L25" s="186" t="s">
        <v>564</v>
      </c>
      <c r="M25" s="54">
        <f>(M11*M21)/M23</f>
        <v>773.09029969279459</v>
      </c>
      <c r="N25" s="23" t="s">
        <v>92</v>
      </c>
      <c r="O25" s="23"/>
      <c r="P25" s="23"/>
      <c r="Q25" s="23"/>
    </row>
    <row r="26" spans="2:30" ht="15.75" thickBot="1">
      <c r="B26" s="58" t="s">
        <v>415</v>
      </c>
      <c r="C26" s="54">
        <f>M8/C25</f>
        <v>4567.4235447449455</v>
      </c>
      <c r="D26" s="86" t="s">
        <v>92</v>
      </c>
      <c r="L26" s="317" t="s">
        <v>566</v>
      </c>
      <c r="M26" s="312" t="s">
        <v>567</v>
      </c>
      <c r="N26" s="312"/>
      <c r="O26" s="312"/>
      <c r="P26" s="312"/>
      <c r="Q26" s="23"/>
    </row>
    <row r="27" spans="2:30">
      <c r="B27" s="51"/>
      <c r="D27" s="73"/>
      <c r="G27" s="514" t="s">
        <v>576</v>
      </c>
      <c r="H27" s="515"/>
      <c r="I27" s="516"/>
      <c r="L27" s="186" t="s">
        <v>322</v>
      </c>
      <c r="M27" s="54">
        <f>((I12-I9)*C9*M22)/M23</f>
        <v>1014.5010195918298</v>
      </c>
      <c r="N27" s="23" t="s">
        <v>92</v>
      </c>
    </row>
    <row r="28" spans="2:30">
      <c r="B28" s="58" t="s">
        <v>577</v>
      </c>
      <c r="C28" s="54">
        <f>M28/(SIN(C24*(PI()/180)))</f>
        <v>1379.8905531034904</v>
      </c>
      <c r="D28" s="86" t="s">
        <v>92</v>
      </c>
      <c r="G28" s="58" t="s">
        <v>415</v>
      </c>
      <c r="H28" s="54">
        <f>AA19</f>
        <v>3357.9879452250711</v>
      </c>
      <c r="I28" s="86" t="s">
        <v>92</v>
      </c>
      <c r="L28" s="186" t="s">
        <v>572</v>
      </c>
      <c r="M28" s="54">
        <f>(M10*I12*C9*M22)/M23</f>
        <v>334.67261777868629</v>
      </c>
      <c r="N28" s="23" t="s">
        <v>92</v>
      </c>
    </row>
    <row r="29" spans="2:30">
      <c r="B29" s="58" t="s">
        <v>575</v>
      </c>
      <c r="C29" s="54">
        <f>M25/(SIN(C24*(PI()/180)))</f>
        <v>3187.5329637738046</v>
      </c>
      <c r="D29" s="86" t="s">
        <v>92</v>
      </c>
    </row>
    <row r="30" spans="2:30">
      <c r="B30" s="51"/>
      <c r="D30" s="73"/>
    </row>
    <row r="31" spans="2:30" ht="15.75" thickBot="1">
      <c r="B31" s="91" t="s">
        <v>578</v>
      </c>
      <c r="C31" s="93">
        <f>C28+C29</f>
        <v>4567.4235168772948</v>
      </c>
      <c r="D31" s="6" t="s">
        <v>92</v>
      </c>
      <c r="E31" t="s">
        <v>579</v>
      </c>
    </row>
  </sheetData>
  <mergeCells count="35">
    <mergeCell ref="G27:I27"/>
    <mergeCell ref="T13:W13"/>
    <mergeCell ref="T19:W19"/>
    <mergeCell ref="Z5:AE5"/>
    <mergeCell ref="AA8:AD8"/>
    <mergeCell ref="AA10:AD10"/>
    <mergeCell ref="AA12:AD12"/>
    <mergeCell ref="AA18:AD18"/>
    <mergeCell ref="L5:Q5"/>
    <mergeCell ref="S5:X5"/>
    <mergeCell ref="T8:W8"/>
    <mergeCell ref="T11:W11"/>
    <mergeCell ref="M20:P20"/>
    <mergeCell ref="H14:J14"/>
    <mergeCell ref="L6:O6"/>
    <mergeCell ref="M9:P9"/>
    <mergeCell ref="B9:B10"/>
    <mergeCell ref="E9:F10"/>
    <mergeCell ref="B4:D5"/>
    <mergeCell ref="E4:F5"/>
    <mergeCell ref="B6:B8"/>
    <mergeCell ref="E6:F8"/>
    <mergeCell ref="M12:P12"/>
    <mergeCell ref="M14:P14"/>
    <mergeCell ref="B20:C20"/>
    <mergeCell ref="B19:C19"/>
    <mergeCell ref="B23:D23"/>
    <mergeCell ref="G23:I23"/>
    <mergeCell ref="E17:F17"/>
    <mergeCell ref="B15:B16"/>
    <mergeCell ref="E15:F16"/>
    <mergeCell ref="B11:B12"/>
    <mergeCell ref="E11:F12"/>
    <mergeCell ref="B13:B14"/>
    <mergeCell ref="E13:F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1328ea-d3d1-46dd-b844-80e2ed6392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3A293530353469AB89AC487266B1B" ma:contentTypeVersion="16" ma:contentTypeDescription="Create a new document." ma:contentTypeScope="" ma:versionID="200a786eeca7a188bd9580baf3188107">
  <xsd:schema xmlns:xsd="http://www.w3.org/2001/XMLSchema" xmlns:xs="http://www.w3.org/2001/XMLSchema" xmlns:p="http://schemas.microsoft.com/office/2006/metadata/properties" xmlns:ns3="b31328ea-d3d1-46dd-b844-80e2ed6392af" xmlns:ns4="904ed628-6541-491c-86f0-fabeb8064245" targetNamespace="http://schemas.microsoft.com/office/2006/metadata/properties" ma:root="true" ma:fieldsID="130d6f33686a757e4547b7ea1de79936" ns3:_="" ns4:_="">
    <xsd:import namespace="b31328ea-d3d1-46dd-b844-80e2ed6392af"/>
    <xsd:import namespace="904ed628-6541-491c-86f0-fabeb80642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328ea-d3d1-46dd-b844-80e2ed639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ed628-6541-491c-86f0-fabeb806424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41B650-649C-4A10-A76A-FAEDDB9961E0}"/>
</file>

<file path=customXml/itemProps2.xml><?xml version="1.0" encoding="utf-8"?>
<ds:datastoreItem xmlns:ds="http://schemas.openxmlformats.org/officeDocument/2006/customXml" ds:itemID="{587BEB91-226D-424A-A75A-393AE0BCB746}"/>
</file>

<file path=customXml/itemProps3.xml><?xml version="1.0" encoding="utf-8"?>
<ds:datastoreItem xmlns:ds="http://schemas.openxmlformats.org/officeDocument/2006/customXml" ds:itemID="{7F538C7E-87D4-4E42-A13F-0EEFFE242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LORENZ YAMANAKA</dc:creator>
  <cp:keywords/>
  <dc:description/>
  <cp:lastModifiedBy/>
  <cp:revision/>
  <dcterms:created xsi:type="dcterms:W3CDTF">2024-01-02T09:07:03Z</dcterms:created>
  <dcterms:modified xsi:type="dcterms:W3CDTF">2026-03-30T08:39:01Z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0x010100A3F3A293530353469AB89AC487266B1B</vt:lpwstr>
  </property>
</Properties>
</file>